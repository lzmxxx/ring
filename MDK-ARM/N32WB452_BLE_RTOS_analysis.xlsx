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<sst xmlns="http://schemas.openxmlformats.org/spreadsheetml/2006/main" count="235" uniqueCount="162">
  <si>
    <t>N32WB452_BLE_RTOS</t>
  </si>
  <si>
    <t>spo2_advanced.o</t>
  </si>
  <si>
    <t>app_ppg.o</t>
  </si>
  <si>
    <t>app_spo2.o</t>
  </si>
  <si>
    <t>board.o</t>
  </si>
  <si>
    <t>startup_n32wb452.o</t>
  </si>
  <si>
    <t>host_16bit.lib</t>
  </si>
  <si>
    <t>rwip.o</t>
  </si>
  <si>
    <t>app_ble.o</t>
  </si>
  <si>
    <t>spo2.o</t>
  </si>
  <si>
    <t>app_record.o</t>
  </si>
  <si>
    <t>app_power.o</t>
  </si>
  <si>
    <t>app_device.o</t>
  </si>
  <si>
    <t>timer.o</t>
  </si>
  <si>
    <t>idle.o</t>
  </si>
  <si>
    <t>n32wb452_data_fifo.o</t>
  </si>
  <si>
    <t>scheduler.o</t>
  </si>
  <si>
    <t>ipa1322.o</t>
  </si>
  <si>
    <t>app.o</t>
  </si>
  <si>
    <t>object.o</t>
  </si>
  <si>
    <t>mem.o</t>
  </si>
  <si>
    <t>hl_test.o</t>
  </si>
  <si>
    <t>ke.o</t>
  </si>
  <si>
    <t>ke_task.o</t>
  </si>
  <si>
    <t>gapm.o</t>
  </si>
  <si>
    <t>gattm.o</t>
  </si>
  <si>
    <t>interface.o</t>
  </si>
  <si>
    <t>n32wb452_ble_16bit.lib</t>
  </si>
  <si>
    <t>eif_spi.o</t>
  </si>
  <si>
    <t>nvds.o</t>
  </si>
  <si>
    <t>hci_tl.o</t>
  </si>
  <si>
    <t>prf.o</t>
  </si>
  <si>
    <t>ke_event.o</t>
  </si>
  <si>
    <t>h4tl.o</t>
  </si>
  <si>
    <t>hci.o</t>
  </si>
  <si>
    <t>n32wb452_ble_api.o</t>
  </si>
  <si>
    <t>interrupt.o</t>
  </si>
  <si>
    <t>cpuport.o</t>
  </si>
  <si>
    <t>mc_w.l</t>
  </si>
  <si>
    <t>l2cm.o</t>
  </si>
  <si>
    <t>thread.o</t>
  </si>
  <si>
    <t>cw2015.o</t>
  </si>
  <si>
    <t>app_user.o</t>
  </si>
  <si>
    <t>bsp_hw_i2c.o</t>
  </si>
  <si>
    <t>irq.o</t>
  </si>
  <si>
    <t>ble_monitor.o</t>
  </si>
  <si>
    <t>stdout.o</t>
  </si>
  <si>
    <t>rand.o</t>
  </si>
  <si>
    <t>errno.o</t>
  </si>
  <si>
    <t>l2cc.o</t>
  </si>
  <si>
    <t>gattc.o</t>
  </si>
  <si>
    <t>gapc.o</t>
  </si>
  <si>
    <t>system_n32wb452.o</t>
  </si>
  <si>
    <t>sc7a20.o</t>
  </si>
  <si>
    <t>clock_1.o</t>
  </si>
  <si>
    <t>bsp_timer.o</t>
  </si>
  <si>
    <t>app_sec.o</t>
  </si>
  <si>
    <t>l2cc_task.o</t>
  </si>
  <si>
    <t>gattm_task.o</t>
  </si>
  <si>
    <t>gattc_task.o</t>
  </si>
  <si>
    <t>gapm_task.o</t>
  </si>
  <si>
    <t>gapc_task.o</t>
  </si>
  <si>
    <t>clock.o</t>
  </si>
  <si>
    <t>app_task.o</t>
  </si>
  <si>
    <t>app_main.o</t>
  </si>
  <si>
    <t>arm_cortexM4lf_math.lib</t>
  </si>
  <si>
    <t>arm_common_tables.o</t>
  </si>
  <si>
    <t>atts.o</t>
  </si>
  <si>
    <t>smpc.o</t>
  </si>
  <si>
    <t>gapm_hci.o</t>
  </si>
  <si>
    <t>gapm_util.o</t>
  </si>
  <si>
    <t>attm_db.o</t>
  </si>
  <si>
    <t>smpc_api.o</t>
  </si>
  <si>
    <t>gapc_hci.o</t>
  </si>
  <si>
    <t>l2cc_pdu.o</t>
  </si>
  <si>
    <t>arm_cfft_f32.o</t>
  </si>
  <si>
    <t>n32wb452_qspi.o</t>
  </si>
  <si>
    <t>hci_msg.o</t>
  </si>
  <si>
    <t>n32wb452_rtc.o</t>
  </si>
  <si>
    <t>arm_cfft_radix8_f32.o</t>
  </si>
  <si>
    <t>smpc_util.o</t>
  </si>
  <si>
    <t>attm.o</t>
  </si>
  <si>
    <t>ipc.o</t>
  </si>
  <si>
    <t>arm_fir_f32.o</t>
  </si>
  <si>
    <t>n32wb452_rcc.o</t>
  </si>
  <si>
    <t>myi2c2.o</t>
  </si>
  <si>
    <t>n32wb452_gpio.o</t>
  </si>
  <si>
    <t>user_task.o</t>
  </si>
  <si>
    <t>m_wm.l</t>
  </si>
  <si>
    <t>n32wb452_i2c.o</t>
  </si>
  <si>
    <t>eif_iom.o</t>
  </si>
  <si>
    <t>hci_util.o</t>
  </si>
  <si>
    <t>user.o</t>
  </si>
  <si>
    <t>kservice.o</t>
  </si>
  <si>
    <t>bsp_i2c.o</t>
  </si>
  <si>
    <t>app_packet.o</t>
  </si>
  <si>
    <t>ke_mem.o</t>
  </si>
  <si>
    <t>ke_timer.o</t>
  </si>
  <si>
    <t>n32wb452_dma.o</t>
  </si>
  <si>
    <t>arm_rfft_fast_init_f32.o</t>
  </si>
  <si>
    <t>n32wb452_flash.o</t>
  </si>
  <si>
    <t>arm_rfft_fast_f32.o</t>
  </si>
  <si>
    <t>logf.o</t>
  </si>
  <si>
    <t>n32wb452_tim.o</t>
  </si>
  <si>
    <t>bsp_power.o</t>
  </si>
  <si>
    <t>n32wb452_bt_drv.o</t>
  </si>
  <si>
    <t>l2cc_sig.o</t>
  </si>
  <si>
    <t>app_protocol.o</t>
  </si>
  <si>
    <t>context_rvds.o</t>
  </si>
  <si>
    <t>smpm_api.o</t>
  </si>
  <si>
    <t>myspi2.o</t>
  </si>
  <si>
    <t>vt2102_hal.o</t>
  </si>
  <si>
    <t>n32wb452_spi.o</t>
  </si>
  <si>
    <t>co_list.o</t>
  </si>
  <si>
    <t>gapc_sig.o</t>
  </si>
  <si>
    <t>attc.o</t>
  </si>
  <si>
    <t>ke_msg.o</t>
  </si>
  <si>
    <t>n32wb452_exti.o</t>
  </si>
  <si>
    <t>n32wb452_pwr.o</t>
  </si>
  <si>
    <t>arm_cfft_init_f32.o</t>
  </si>
  <si>
    <t>arm_cos_f32.o</t>
  </si>
  <si>
    <t>arm_const_structs.o</t>
  </si>
  <si>
    <t>misc.o</t>
  </si>
  <si>
    <t>ke_queue.o</t>
  </si>
  <si>
    <t>floorf.o</t>
  </si>
  <si>
    <t>components.o</t>
  </si>
  <si>
    <t>ceilf.o</t>
  </si>
  <si>
    <t>uldiv.o</t>
  </si>
  <si>
    <t>__dclz77c.o</t>
  </si>
  <si>
    <t>n32wb452_bkp.o</t>
  </si>
  <si>
    <t>arm_bitreversal2.o</t>
  </si>
  <si>
    <t>rwble_hl.o</t>
  </si>
  <si>
    <t>sqrtf.o</t>
  </si>
  <si>
    <t>eif_timer.o</t>
  </si>
  <si>
    <t>printfb.o</t>
  </si>
  <si>
    <t>funder.o</t>
  </si>
  <si>
    <t>memseta.o</t>
  </si>
  <si>
    <t>memcpya.o</t>
  </si>
  <si>
    <t>init.o</t>
  </si>
  <si>
    <t>llushr.o</t>
  </si>
  <si>
    <t>arm_fir_init_f32.o</t>
  </si>
  <si>
    <t>n32wb452_dbg.o</t>
  </si>
  <si>
    <t>llshl.o</t>
  </si>
  <si>
    <t>handlers.o</t>
  </si>
  <si>
    <t>memcmp.o</t>
  </si>
  <si>
    <t>eif_flash.o</t>
  </si>
  <si>
    <t>fputc.o</t>
  </si>
  <si>
    <t>strlen.o</t>
  </si>
  <si>
    <t>entry9a.o</t>
  </si>
  <si>
    <t>entry2.o</t>
  </si>
  <si>
    <t>entry5.o</t>
  </si>
  <si>
    <t>entry12b.o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</si>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</sst>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ram_percent!$A$3:$A$154</c:f>
              <c:strCache>
                <c:ptCount val="152"/>
                <c:pt idx="0">
                  <c:v>spo2_advanced.o</c:v>
                </c:pt>
                <c:pt idx="1">
                  <c:v>app_ppg.o</c:v>
                </c:pt>
                <c:pt idx="2">
                  <c:v>app_spo2.o</c:v>
                </c:pt>
                <c:pt idx="3">
                  <c:v>board.o</c:v>
                </c:pt>
                <c:pt idx="4">
                  <c:v>startup_n32wb452.o</c:v>
                </c:pt>
                <c:pt idx="5">
                  <c:v>host_16bit.lib</c:v>
                </c:pt>
                <c:pt idx="6">
                  <c:v>rwip.o</c:v>
                </c:pt>
                <c:pt idx="7">
                  <c:v>app_ble.o</c:v>
                </c:pt>
                <c:pt idx="8">
                  <c:v>spo2.o</c:v>
                </c:pt>
                <c:pt idx="9">
                  <c:v>app_record.o</c:v>
                </c:pt>
                <c:pt idx="10">
                  <c:v>app_power.o</c:v>
                </c:pt>
                <c:pt idx="11">
                  <c:v>app_device.o</c:v>
                </c:pt>
                <c:pt idx="12">
                  <c:v>timer.o</c:v>
                </c:pt>
                <c:pt idx="13">
                  <c:v>idle.o</c:v>
                </c:pt>
                <c:pt idx="14">
                  <c:v>n32wb452_data_fifo.o</c:v>
                </c:pt>
                <c:pt idx="15">
                  <c:v>scheduler.o</c:v>
                </c:pt>
                <c:pt idx="16">
                  <c:v>ipa1322.o</c:v>
                </c:pt>
                <c:pt idx="17">
                  <c:v>app.o</c:v>
                </c:pt>
                <c:pt idx="18">
                  <c:v>object.o</c:v>
                </c:pt>
                <c:pt idx="19">
                  <c:v>mem.o</c:v>
                </c:pt>
                <c:pt idx="20">
                  <c:v>hl_test.o</c:v>
                </c:pt>
                <c:pt idx="21">
                  <c:v>ke.o</c:v>
                </c:pt>
                <c:pt idx="22">
                  <c:v>ke_task.o</c:v>
                </c:pt>
                <c:pt idx="23">
                  <c:v>gapm.o</c:v>
                </c:pt>
                <c:pt idx="24">
                  <c:v>gattm.o</c:v>
                </c:pt>
                <c:pt idx="25">
                  <c:v>interface.o</c:v>
                </c:pt>
                <c:pt idx="26">
                  <c:v>n32wb452_ble_16bit.lib</c:v>
                </c:pt>
                <c:pt idx="27">
                  <c:v>eif_spi.o</c:v>
                </c:pt>
                <c:pt idx="28">
                  <c:v>nvds.o</c:v>
                </c:pt>
                <c:pt idx="29">
                  <c:v>hci_tl.o</c:v>
                </c:pt>
                <c:pt idx="30">
                  <c:v>prf.o</c:v>
                </c:pt>
                <c:pt idx="31">
                  <c:v>ke_event.o</c:v>
                </c:pt>
                <c:pt idx="32">
                  <c:v>h4tl.o</c:v>
                </c:pt>
                <c:pt idx="33">
                  <c:v>hci.o</c:v>
                </c:pt>
                <c:pt idx="34">
                  <c:v>n32wb452_ble_api.o</c:v>
                </c:pt>
                <c:pt idx="35">
                  <c:v>interrupt.o</c:v>
                </c:pt>
                <c:pt idx="36">
                  <c:v>cpuport.o</c:v>
                </c:pt>
                <c:pt idx="37">
                  <c:v>mc_w.l</c:v>
                </c:pt>
                <c:pt idx="38">
                  <c:v>l2cm.o</c:v>
                </c:pt>
                <c:pt idx="39">
                  <c:v>thread.o</c:v>
                </c:pt>
                <c:pt idx="40">
                  <c:v>cw2015.o</c:v>
                </c:pt>
                <c:pt idx="41">
                  <c:v>app_user.o</c:v>
                </c:pt>
                <c:pt idx="42">
                  <c:v>bsp_hw_i2c.o</c:v>
                </c:pt>
                <c:pt idx="43">
                  <c:v>irq.o</c:v>
                </c:pt>
                <c:pt idx="44">
                  <c:v>ble_monitor.o</c:v>
                </c:pt>
                <c:pt idx="45">
                  <c:v>stdout.o</c:v>
                </c:pt>
                <c:pt idx="46">
                  <c:v>rand.o</c:v>
                </c:pt>
                <c:pt idx="47">
                  <c:v>errno.o</c:v>
                </c:pt>
                <c:pt idx="48">
                  <c:v>l2cc.o</c:v>
                </c:pt>
                <c:pt idx="49">
                  <c:v>gattc.o</c:v>
                </c:pt>
                <c:pt idx="50">
                  <c:v>gapc.o</c:v>
                </c:pt>
                <c:pt idx="51">
                  <c:v>system_n32wb452.o</c:v>
                </c:pt>
                <c:pt idx="52">
                  <c:v>sc7a20.o</c:v>
                </c:pt>
                <c:pt idx="53">
                  <c:v>clock_1.o</c:v>
                </c:pt>
                <c:pt idx="54">
                  <c:v>bsp_timer.o</c:v>
                </c:pt>
                <c:pt idx="55">
                  <c:v>app_sec.o</c:v>
                </c:pt>
                <c:pt idx="56">
                  <c:v>l2cc_task.o</c:v>
                </c:pt>
                <c:pt idx="57">
                  <c:v>gattm_task.o</c:v>
                </c:pt>
                <c:pt idx="58">
                  <c:v>gattc_task.o</c:v>
                </c:pt>
                <c:pt idx="59">
                  <c:v>gapm_task.o</c:v>
                </c:pt>
                <c:pt idx="60">
                  <c:v>gapc_task.o</c:v>
                </c:pt>
                <c:pt idx="61">
                  <c:v>clock.o</c:v>
                </c:pt>
                <c:pt idx="62">
                  <c:v>app_task.o</c:v>
                </c:pt>
                <c:pt idx="63">
                  <c:v>app_main.o</c:v>
                </c:pt>
                <c:pt idx="151">
                  <c:v>Totals</c:v>
                </c:pt>
              </c:strCache>
            </c:strRef>
          </c:cat>
          <c:val>
            <c:numRef>
              <c:f>ram_percent!$B$3:$B$154</c:f>
              <c:numCache>
                <c:formatCode>General</c:formatCode>
                <c:ptCount val="152"/>
                <c:pt idx="0">
                  <c:v>26.10260200500488</c:v>
                </c:pt>
                <c:pt idx="1">
                  <c:v>17.50295829772949</c:v>
                </c:pt>
                <c:pt idx="2">
                  <c:v>16.75214958190918</c:v>
                </c:pt>
                <c:pt idx="3">
                  <c:v>9.794005393981934</c:v>
                </c:pt>
                <c:pt idx="4">
                  <c:v>6.121253490447998</c:v>
                </c:pt>
                <c:pt idx="5">
                  <c:v>4.990256309509277</c:v>
                </c:pt>
                <c:pt idx="6">
                  <c:v>4.62919807434082</c:v>
                </c:pt>
                <c:pt idx="7">
                  <c:v>3.620147466659546</c:v>
                </c:pt>
                <c:pt idx="8">
                  <c:v>2.199825525283814</c:v>
                </c:pt>
                <c:pt idx="9">
                  <c:v>1.890176057815552</c:v>
                </c:pt>
                <c:pt idx="10">
                  <c:v>1.250552892684937</c:v>
                </c:pt>
                <c:pt idx="11">
                  <c:v>1.157299518585205</c:v>
                </c:pt>
                <c:pt idx="12">
                  <c:v>0.7986322641372681</c:v>
                </c:pt>
                <c:pt idx="13">
                  <c:v>0.7842856049537659</c:v>
                </c:pt>
                <c:pt idx="14">
                  <c:v>0.64081871509552</c:v>
                </c:pt>
                <c:pt idx="15">
                  <c:v>0.3395382761955261</c:v>
                </c:pt>
                <c:pt idx="16">
                  <c:v>0.2964982092380524</c:v>
                </c:pt>
                <c:pt idx="17">
                  <c:v>0.1888980567455292</c:v>
                </c:pt>
                <c:pt idx="18">
                  <c:v>0.1195557340979576</c:v>
                </c:pt>
                <c:pt idx="19">
                  <c:v>0.07651566714048386</c:v>
                </c:pt>
                <c:pt idx="20">
                  <c:v>0.0669512078166008</c:v>
                </c:pt>
                <c:pt idx="21">
                  <c:v>0.05738675221800804</c:v>
                </c:pt>
                <c:pt idx="22">
                  <c:v>0.05260452255606651</c:v>
                </c:pt>
                <c:pt idx="23">
                  <c:v>0.05260452255606651</c:v>
                </c:pt>
                <c:pt idx="24">
                  <c:v>0.03825783357024193</c:v>
                </c:pt>
                <c:pt idx="25">
                  <c:v>0.03825783357024193</c:v>
                </c:pt>
                <c:pt idx="26">
                  <c:v>0.03586671873927116</c:v>
                </c:pt>
                <c:pt idx="27">
                  <c:v>0.02869337610900402</c:v>
                </c:pt>
                <c:pt idx="28">
                  <c:v>0.02869337610900402</c:v>
                </c:pt>
                <c:pt idx="29">
                  <c:v>0.02869337610900402</c:v>
                </c:pt>
                <c:pt idx="30">
                  <c:v>0.02869337610900402</c:v>
                </c:pt>
                <c:pt idx="31">
                  <c:v>0.02391114644706249</c:v>
                </c:pt>
                <c:pt idx="32">
                  <c:v>0.02391114644706249</c:v>
                </c:pt>
                <c:pt idx="33">
                  <c:v>0.02032447420060635</c:v>
                </c:pt>
                <c:pt idx="34">
                  <c:v>0.01912891678512096</c:v>
                </c:pt>
                <c:pt idx="35">
                  <c:v>0.01912891678512096</c:v>
                </c:pt>
                <c:pt idx="36">
                  <c:v>0.01912891678512096</c:v>
                </c:pt>
                <c:pt idx="37">
                  <c:v>0.01434668805450201</c:v>
                </c:pt>
                <c:pt idx="38">
                  <c:v>0.01434668805450201</c:v>
                </c:pt>
                <c:pt idx="39">
                  <c:v>0.01434668805450201</c:v>
                </c:pt>
                <c:pt idx="40">
                  <c:v>0.01434668805450201</c:v>
                </c:pt>
                <c:pt idx="41">
                  <c:v>0.01434668805450201</c:v>
                </c:pt>
                <c:pt idx="42">
                  <c:v>0.01315113063901663</c:v>
                </c:pt>
                <c:pt idx="43">
                  <c:v>0.01076001580804586</c:v>
                </c:pt>
                <c:pt idx="44">
                  <c:v>0.007173344027251005</c:v>
                </c:pt>
                <c:pt idx="45">
                  <c:v>0.004782229196280241</c:v>
                </c:pt>
                <c:pt idx="46">
                  <c:v>0.004782229196280241</c:v>
                </c:pt>
                <c:pt idx="47">
                  <c:v>0.004782229196280241</c:v>
                </c:pt>
                <c:pt idx="48">
                  <c:v>0.004782229196280241</c:v>
                </c:pt>
                <c:pt idx="49">
                  <c:v>0.004782229196280241</c:v>
                </c:pt>
                <c:pt idx="50">
                  <c:v>0.004782229196280241</c:v>
                </c:pt>
                <c:pt idx="51">
                  <c:v>0.004782229196280241</c:v>
                </c:pt>
                <c:pt idx="52">
                  <c:v>0.004782229196280241</c:v>
                </c:pt>
                <c:pt idx="53">
                  <c:v>0.004782229196280241</c:v>
                </c:pt>
                <c:pt idx="54">
                  <c:v>0.004782229196280241</c:v>
                </c:pt>
                <c:pt idx="55">
                  <c:v>0.002391114598140121</c:v>
                </c:pt>
                <c:pt idx="56">
                  <c:v>0.00119555729907006</c:v>
                </c:pt>
                <c:pt idx="57">
                  <c:v>0.00119555729907006</c:v>
                </c:pt>
                <c:pt idx="58">
                  <c:v>0.00119555729907006</c:v>
                </c:pt>
                <c:pt idx="59">
                  <c:v>0.00119555729907006</c:v>
                </c:pt>
                <c:pt idx="60">
                  <c:v>0.00119555729907006</c:v>
                </c:pt>
                <c:pt idx="61">
                  <c:v>0.00119555729907006</c:v>
                </c:pt>
                <c:pt idx="62">
                  <c:v>0.00119555729907006</c:v>
                </c:pt>
                <c:pt idx="63">
                  <c:v>0.00119555729907006</c:v>
                </c:pt>
                <c:pt idx="15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flash_percent!$A$3:$A$154</c:f>
              <c:strCache>
                <c:ptCount val="152"/>
                <c:pt idx="0">
                  <c:v>arm_cortexM4lf_math.lib</c:v>
                </c:pt>
                <c:pt idx="1">
                  <c:v>arm_common_tables.o</c:v>
                </c:pt>
                <c:pt idx="2">
                  <c:v>host_16bit.lib</c:v>
                </c:pt>
                <c:pt idx="3">
                  <c:v>interface.o</c:v>
                </c:pt>
                <c:pt idx="4">
                  <c:v>spo2_advanced.o</c:v>
                </c:pt>
                <c:pt idx="5">
                  <c:v>atts.o</c:v>
                </c:pt>
                <c:pt idx="6">
                  <c:v>gapc_task.o</c:v>
                </c:pt>
                <c:pt idx="7">
                  <c:v>smpc.o</c:v>
                </c:pt>
                <c:pt idx="8">
                  <c:v>n32wb452_ble_16bit.lib</c:v>
                </c:pt>
                <c:pt idx="9">
                  <c:v>app_ble.o</c:v>
                </c:pt>
                <c:pt idx="10">
                  <c:v>gapm_hci.o</c:v>
                </c:pt>
                <c:pt idx="11">
                  <c:v>gapm_task.o</c:v>
                </c:pt>
                <c:pt idx="12">
                  <c:v>gapm_util.o</c:v>
                </c:pt>
                <c:pt idx="13">
                  <c:v>app_power.o</c:v>
                </c:pt>
                <c:pt idx="14">
                  <c:v>attm_db.o</c:v>
                </c:pt>
                <c:pt idx="15">
                  <c:v>smpc_api.o</c:v>
                </c:pt>
                <c:pt idx="16">
                  <c:v>app_ppg.o</c:v>
                </c:pt>
                <c:pt idx="17">
                  <c:v>ipa1322.o</c:v>
                </c:pt>
                <c:pt idx="18">
                  <c:v>gapc.o</c:v>
                </c:pt>
                <c:pt idx="19">
                  <c:v>gapc_hci.o</c:v>
                </c:pt>
                <c:pt idx="20">
                  <c:v>l2cc_pdu.o</c:v>
                </c:pt>
                <c:pt idx="21">
                  <c:v>app_record.o</c:v>
                </c:pt>
                <c:pt idx="22">
                  <c:v>app_task.o</c:v>
                </c:pt>
                <c:pt idx="23">
                  <c:v>arm_cfft_f32.o</c:v>
                </c:pt>
                <c:pt idx="24">
                  <c:v>app_device.o</c:v>
                </c:pt>
                <c:pt idx="25">
                  <c:v>n32wb452_qspi.o</c:v>
                </c:pt>
                <c:pt idx="26">
                  <c:v>hci_msg.o</c:v>
                </c:pt>
                <c:pt idx="27">
                  <c:v>n32wb452_rtc.o</c:v>
                </c:pt>
                <c:pt idx="28">
                  <c:v>arm_cfft_radix8_f32.o</c:v>
                </c:pt>
                <c:pt idx="29">
                  <c:v>bsp_hw_i2c.o</c:v>
                </c:pt>
                <c:pt idx="30">
                  <c:v>hci_tl.o</c:v>
                </c:pt>
                <c:pt idx="31">
                  <c:v>smpc_util.o</c:v>
                </c:pt>
                <c:pt idx="32">
                  <c:v>gattc_task.o</c:v>
                </c:pt>
                <c:pt idx="33">
                  <c:v>attm.o</c:v>
                </c:pt>
                <c:pt idx="34">
                  <c:v>timer.o</c:v>
                </c:pt>
                <c:pt idx="35">
                  <c:v>ipc.o</c:v>
                </c:pt>
                <c:pt idx="36">
                  <c:v>gattc.o</c:v>
                </c:pt>
                <c:pt idx="37">
                  <c:v>arm_fir_f32.o</c:v>
                </c:pt>
                <c:pt idx="38">
                  <c:v>n32wb452_rcc.o</c:v>
                </c:pt>
                <c:pt idx="39">
                  <c:v>gapm.o</c:v>
                </c:pt>
                <c:pt idx="40">
                  <c:v>myi2c2.o</c:v>
                </c:pt>
                <c:pt idx="41">
                  <c:v>app_sec.o</c:v>
                </c:pt>
                <c:pt idx="42">
                  <c:v>app_spo2.o</c:v>
                </c:pt>
                <c:pt idx="43">
                  <c:v>n32wb452_gpio.o</c:v>
                </c:pt>
                <c:pt idx="44">
                  <c:v>cw2015.o</c:v>
                </c:pt>
                <c:pt idx="45">
                  <c:v>thread.o</c:v>
                </c:pt>
                <c:pt idx="46">
                  <c:v>system_n32wb452.o</c:v>
                </c:pt>
                <c:pt idx="47">
                  <c:v>mem.o</c:v>
                </c:pt>
                <c:pt idx="48">
                  <c:v>l2cc.o</c:v>
                </c:pt>
                <c:pt idx="49">
                  <c:v>n32wb452_data_fifo.o</c:v>
                </c:pt>
                <c:pt idx="50">
                  <c:v>spo2.o</c:v>
                </c:pt>
                <c:pt idx="51">
                  <c:v>user_task.o</c:v>
                </c:pt>
                <c:pt idx="52">
                  <c:v>m_wm.l</c:v>
                </c:pt>
                <c:pt idx="53">
                  <c:v>nvds.o</c:v>
                </c:pt>
                <c:pt idx="54">
                  <c:v>sc7a20.o</c:v>
                </c:pt>
                <c:pt idx="55">
                  <c:v>prf.o</c:v>
                </c:pt>
                <c:pt idx="56">
                  <c:v>n32wb452_i2c.o</c:v>
                </c:pt>
                <c:pt idx="57">
                  <c:v>eif_iom.o</c:v>
                </c:pt>
                <c:pt idx="58">
                  <c:v>l2cc_task.o</c:v>
                </c:pt>
                <c:pt idx="59">
                  <c:v>hci_util.o</c:v>
                </c:pt>
                <c:pt idx="60">
                  <c:v>user.o</c:v>
                </c:pt>
                <c:pt idx="61">
                  <c:v>kservice.o</c:v>
                </c:pt>
                <c:pt idx="62">
                  <c:v>h4tl.o</c:v>
                </c:pt>
                <c:pt idx="63">
                  <c:v>ke_task.o</c:v>
                </c:pt>
                <c:pt idx="64">
                  <c:v>hl_test.o</c:v>
                </c:pt>
                <c:pt idx="65">
                  <c:v>bsp_i2c.o</c:v>
                </c:pt>
                <c:pt idx="66">
                  <c:v>mc_w.l</c:v>
                </c:pt>
                <c:pt idx="67">
                  <c:v>scheduler.o</c:v>
                </c:pt>
                <c:pt idx="68">
                  <c:v>object.o</c:v>
                </c:pt>
                <c:pt idx="69">
                  <c:v>app_packet.o</c:v>
                </c:pt>
                <c:pt idx="70">
                  <c:v>ke_mem.o</c:v>
                </c:pt>
                <c:pt idx="71">
                  <c:v>ke_timer.o</c:v>
                </c:pt>
                <c:pt idx="72">
                  <c:v>n32wb452_dma.o</c:v>
                </c:pt>
                <c:pt idx="73">
                  <c:v>arm_rfft_fast_init_f32.o</c:v>
                </c:pt>
                <c:pt idx="74">
                  <c:v>app.o</c:v>
                </c:pt>
                <c:pt idx="75">
                  <c:v>startup_n32wb452.o</c:v>
                </c:pt>
                <c:pt idx="76">
                  <c:v>n32wb452_flash.o</c:v>
                </c:pt>
                <c:pt idx="77">
                  <c:v>arm_rfft_fast_f32.o</c:v>
                </c:pt>
                <c:pt idx="78">
                  <c:v>logf.o</c:v>
                </c:pt>
                <c:pt idx="79">
                  <c:v>n32wb452_tim.o</c:v>
                </c:pt>
                <c:pt idx="80">
                  <c:v>eif_spi.o</c:v>
                </c:pt>
                <c:pt idx="81">
                  <c:v>bsp_power.o</c:v>
                </c:pt>
                <c:pt idx="82">
                  <c:v>interrupt.o</c:v>
                </c:pt>
                <c:pt idx="83">
                  <c:v>ble_monitor.o</c:v>
                </c:pt>
                <c:pt idx="84">
                  <c:v>n32wb452_bt_drv.o</c:v>
                </c:pt>
                <c:pt idx="85">
                  <c:v>idle.o</c:v>
                </c:pt>
                <c:pt idx="86">
                  <c:v>l2cc_sig.o</c:v>
                </c:pt>
                <c:pt idx="87">
                  <c:v>app_protocol.o</c:v>
                </c:pt>
                <c:pt idx="88">
                  <c:v>context_rvds.o</c:v>
                </c:pt>
                <c:pt idx="89">
                  <c:v>app_user.o</c:v>
                </c:pt>
                <c:pt idx="90">
                  <c:v>bsp_timer.o</c:v>
                </c:pt>
                <c:pt idx="91">
                  <c:v>clock.o</c:v>
                </c:pt>
                <c:pt idx="92">
                  <c:v>smpm_api.o</c:v>
                </c:pt>
                <c:pt idx="93">
                  <c:v>myspi2.o</c:v>
                </c:pt>
                <c:pt idx="94">
                  <c:v>vt2102_hal.o</c:v>
                </c:pt>
                <c:pt idx="95">
                  <c:v>n32wb452_spi.o</c:v>
                </c:pt>
                <c:pt idx="96">
                  <c:v>co_list.o</c:v>
                </c:pt>
                <c:pt idx="97">
                  <c:v>gapc_sig.o</c:v>
                </c:pt>
                <c:pt idx="98">
                  <c:v>attc.o</c:v>
                </c:pt>
                <c:pt idx="99">
                  <c:v>l2cm.o</c:v>
                </c:pt>
                <c:pt idx="100">
                  <c:v>ke_msg.o</c:v>
                </c:pt>
                <c:pt idx="101">
                  <c:v>n32wb452_exti.o</c:v>
                </c:pt>
                <c:pt idx="102">
                  <c:v>gattm.o</c:v>
                </c:pt>
                <c:pt idx="103">
                  <c:v>n32wb452_pwr.o</c:v>
                </c:pt>
                <c:pt idx="104">
                  <c:v>n32wb452_ble_api.o</c:v>
                </c:pt>
                <c:pt idx="105">
                  <c:v>board.o</c:v>
                </c:pt>
                <c:pt idx="106">
                  <c:v>arm_cfft_init_f32.o</c:v>
                </c:pt>
                <c:pt idx="107">
                  <c:v>ke_event.o</c:v>
                </c:pt>
                <c:pt idx="108">
                  <c:v>arm_cos_f32.o</c:v>
                </c:pt>
                <c:pt idx="109">
                  <c:v>clock_1.o</c:v>
                </c:pt>
                <c:pt idx="110">
                  <c:v>arm_const_structs.o</c:v>
                </c:pt>
                <c:pt idx="111">
                  <c:v>hci.o</c:v>
                </c:pt>
                <c:pt idx="112">
                  <c:v>cpuport.o</c:v>
                </c:pt>
                <c:pt idx="113">
                  <c:v>misc.o</c:v>
                </c:pt>
                <c:pt idx="114">
                  <c:v>ke_queue.o</c:v>
                </c:pt>
                <c:pt idx="115">
                  <c:v>rwip.o</c:v>
                </c:pt>
                <c:pt idx="116">
                  <c:v>irq.o</c:v>
                </c:pt>
                <c:pt idx="117">
                  <c:v>floorf.o</c:v>
                </c:pt>
                <c:pt idx="118">
                  <c:v>components.o</c:v>
                </c:pt>
                <c:pt idx="119">
                  <c:v>ceilf.o</c:v>
                </c:pt>
                <c:pt idx="120">
                  <c:v>uldiv.o</c:v>
                </c:pt>
                <c:pt idx="121">
                  <c:v>__dclz77c.o</c:v>
                </c:pt>
                <c:pt idx="122">
                  <c:v>app_main.o</c:v>
                </c:pt>
                <c:pt idx="123">
                  <c:v>n32wb452_bkp.o</c:v>
                </c:pt>
                <c:pt idx="124">
                  <c:v>ke.o</c:v>
                </c:pt>
                <c:pt idx="125">
                  <c:v>arm_bitreversal2.o</c:v>
                </c:pt>
                <c:pt idx="126">
                  <c:v>rwble_hl.o</c:v>
                </c:pt>
                <c:pt idx="127">
                  <c:v>sqrtf.o</c:v>
                </c:pt>
                <c:pt idx="128">
                  <c:v>eif_timer.o</c:v>
                </c:pt>
                <c:pt idx="129">
                  <c:v>printfb.o</c:v>
                </c:pt>
                <c:pt idx="130">
                  <c:v>funder.o</c:v>
                </c:pt>
                <c:pt idx="131">
                  <c:v>rand.o</c:v>
                </c:pt>
                <c:pt idx="132">
                  <c:v>memseta.o</c:v>
                </c:pt>
                <c:pt idx="133">
                  <c:v>memcpya.o</c:v>
                </c:pt>
                <c:pt idx="134">
                  <c:v>init.o</c:v>
                </c:pt>
                <c:pt idx="135">
                  <c:v>llushr.o</c:v>
                </c:pt>
                <c:pt idx="136">
                  <c:v>arm_fir_init_f32.o</c:v>
                </c:pt>
                <c:pt idx="137">
                  <c:v>n32wb452_dbg.o</c:v>
                </c:pt>
                <c:pt idx="138">
                  <c:v>llshl.o</c:v>
                </c:pt>
                <c:pt idx="139">
                  <c:v>handlers.o</c:v>
                </c:pt>
                <c:pt idx="140">
                  <c:v>memcmp.o</c:v>
                </c:pt>
                <c:pt idx="141">
                  <c:v>gattm_task.o</c:v>
                </c:pt>
                <c:pt idx="142">
                  <c:v>eif_flash.o</c:v>
                </c:pt>
                <c:pt idx="143">
                  <c:v>fputc.o</c:v>
                </c:pt>
                <c:pt idx="144">
                  <c:v>errno.o</c:v>
                </c:pt>
                <c:pt idx="145">
                  <c:v>strlen.o</c:v>
                </c:pt>
                <c:pt idx="146">
                  <c:v>entry9a.o</c:v>
                </c:pt>
                <c:pt idx="147">
                  <c:v>entry2.o</c:v>
                </c:pt>
                <c:pt idx="148">
                  <c:v>stdout.o</c:v>
                </c:pt>
                <c:pt idx="149">
                  <c:v>entry5.o</c:v>
                </c:pt>
                <c:pt idx="150">
                  <c:v>entry12b.o</c:v>
                </c:pt>
                <c:pt idx="151">
                  <c:v>Totals</c:v>
                </c:pt>
              </c:strCache>
            </c:strRef>
          </c:cat>
          <c:val>
            <c:numRef>
              <c:f>flash_percent!$B$3:$B$154</c:f>
              <c:numCache>
                <c:formatCode>General</c:formatCode>
                <c:ptCount val="152"/>
                <c:pt idx="0">
                  <c:v>30.66058158874512</c:v>
                </c:pt>
                <c:pt idx="1">
                  <c:v>29.27218437194824</c:v>
                </c:pt>
                <c:pt idx="2">
                  <c:v>11.17638969421387</c:v>
                </c:pt>
                <c:pt idx="3">
                  <c:v>2.050638914108276</c:v>
                </c:pt>
                <c:pt idx="4">
                  <c:v>1.574142813682556</c:v>
                </c:pt>
                <c:pt idx="5">
                  <c:v>1.294685006141663</c:v>
                </c:pt>
                <c:pt idx="6">
                  <c:v>0.9200721979141235</c:v>
                </c:pt>
                <c:pt idx="7">
                  <c:v>0.8350093364715576</c:v>
                </c:pt>
                <c:pt idx="8">
                  <c:v>0.7867109775543213</c:v>
                </c:pt>
                <c:pt idx="9">
                  <c:v>0.6747356057167053</c:v>
                </c:pt>
                <c:pt idx="10">
                  <c:v>0.6285998225212097</c:v>
                </c:pt>
                <c:pt idx="11">
                  <c:v>0.6182673573493958</c:v>
                </c:pt>
                <c:pt idx="12">
                  <c:v>0.5728524923324585</c:v>
                </c:pt>
                <c:pt idx="13">
                  <c:v>0.5324836373329163</c:v>
                </c:pt>
                <c:pt idx="14">
                  <c:v>0.5300807356834412</c:v>
                </c:pt>
                <c:pt idx="15">
                  <c:v>0.4820226728916168</c:v>
                </c:pt>
                <c:pt idx="16">
                  <c:v>0.4603965282440186</c:v>
                </c:pt>
                <c:pt idx="17">
                  <c:v>0.4522266387939453</c:v>
                </c:pt>
                <c:pt idx="18">
                  <c:v>0.4464596807956696</c:v>
                </c:pt>
                <c:pt idx="19">
                  <c:v>0.4233917891979218</c:v>
                </c:pt>
                <c:pt idx="20">
                  <c:v>0.4193068444728851</c:v>
                </c:pt>
                <c:pt idx="21">
                  <c:v>0.4154621958732605</c:v>
                </c:pt>
                <c:pt idx="22">
                  <c:v>0.4149816334247589</c:v>
                </c:pt>
                <c:pt idx="23">
                  <c:v>0.3969598412513733</c:v>
                </c:pt>
                <c:pt idx="24">
                  <c:v>0.3868676424026489</c:v>
                </c:pt>
                <c:pt idx="25">
                  <c:v>0.3719696402549744</c:v>
                </c:pt>
                <c:pt idx="26">
                  <c:v>0.3604356944561005</c:v>
                </c:pt>
                <c:pt idx="27">
                  <c:v>0.3527463972568512</c:v>
                </c:pt>
                <c:pt idx="28">
                  <c:v>0.3503434956073761</c:v>
                </c:pt>
                <c:pt idx="29">
                  <c:v>0.3438556492328644</c:v>
                </c:pt>
                <c:pt idx="30">
                  <c:v>0.3224698007106781</c:v>
                </c:pt>
                <c:pt idx="31">
                  <c:v>0.3210280537605286</c:v>
                </c:pt>
                <c:pt idx="32">
                  <c:v>0.3106955587863922</c:v>
                </c:pt>
                <c:pt idx="33">
                  <c:v>0.3099747002124786</c:v>
                </c:pt>
                <c:pt idx="34">
                  <c:v>0.2994019091129303</c:v>
                </c:pt>
                <c:pt idx="35">
                  <c:v>0.2984407544136047</c:v>
                </c:pt>
                <c:pt idx="36">
                  <c:v>0.2873874008655548</c:v>
                </c:pt>
                <c:pt idx="37">
                  <c:v>0.2873874008655548</c:v>
                </c:pt>
                <c:pt idx="38">
                  <c:v>0.277775764465332</c:v>
                </c:pt>
                <c:pt idx="39">
                  <c:v>0.2652806639671326</c:v>
                </c:pt>
                <c:pt idx="40">
                  <c:v>0.2431739419698715</c:v>
                </c:pt>
                <c:pt idx="41">
                  <c:v>0.236445814371109</c:v>
                </c:pt>
                <c:pt idx="42">
                  <c:v>0.2340429127216339</c:v>
                </c:pt>
                <c:pt idx="43">
                  <c:v>0.2301982641220093</c:v>
                </c:pt>
                <c:pt idx="44">
                  <c:v>0.2177031636238098</c:v>
                </c:pt>
                <c:pt idx="45">
                  <c:v>0.2114556133747101</c:v>
                </c:pt>
                <c:pt idx="46">
                  <c:v>0.2076109647750855</c:v>
                </c:pt>
                <c:pt idx="47">
                  <c:v>0.2066497951745987</c:v>
                </c:pt>
                <c:pt idx="48">
                  <c:v>0.194635272026062</c:v>
                </c:pt>
                <c:pt idx="49">
                  <c:v>0.1898294687271118</c:v>
                </c:pt>
                <c:pt idx="50">
                  <c:v>0.189348891377449</c:v>
                </c:pt>
                <c:pt idx="51">
                  <c:v>0.1874265670776367</c:v>
                </c:pt>
                <c:pt idx="52">
                  <c:v>0.1797372698783875</c:v>
                </c:pt>
                <c:pt idx="53">
                  <c:v>0.1778149455785751</c:v>
                </c:pt>
                <c:pt idx="54">
                  <c:v>0.1730091273784638</c:v>
                </c:pt>
                <c:pt idx="55">
                  <c:v>0.1730091273784638</c:v>
                </c:pt>
                <c:pt idx="56">
                  <c:v>0.1686839014291763</c:v>
                </c:pt>
                <c:pt idx="57">
                  <c:v>0.1605140268802643</c:v>
                </c:pt>
                <c:pt idx="58">
                  <c:v>0.1511427015066147</c:v>
                </c:pt>
                <c:pt idx="59">
                  <c:v>0.1484995037317276</c:v>
                </c:pt>
                <c:pt idx="60">
                  <c:v>0.1484995037317276</c:v>
                </c:pt>
                <c:pt idx="61">
                  <c:v>0.1480189263820648</c:v>
                </c:pt>
                <c:pt idx="62">
                  <c:v>0.144895151257515</c:v>
                </c:pt>
                <c:pt idx="63">
                  <c:v>0.1422519534826279</c:v>
                </c:pt>
                <c:pt idx="64">
                  <c:v>0.1422519534826279</c:v>
                </c:pt>
                <c:pt idx="65">
                  <c:v>0.1417713761329651</c:v>
                </c:pt>
                <c:pt idx="66">
                  <c:v>0.1403296291828156</c:v>
                </c:pt>
                <c:pt idx="67">
                  <c:v>0.138887882232666</c:v>
                </c:pt>
                <c:pt idx="68">
                  <c:v>0.1244704574346542</c:v>
                </c:pt>
                <c:pt idx="69">
                  <c:v>0.1225481331348419</c:v>
                </c:pt>
                <c:pt idx="70">
                  <c:v>0.119664654135704</c:v>
                </c:pt>
                <c:pt idx="71">
                  <c:v>0.1187034919857979</c:v>
                </c:pt>
                <c:pt idx="72">
                  <c:v>0.1182229071855545</c:v>
                </c:pt>
                <c:pt idx="73">
                  <c:v>0.1119753569364548</c:v>
                </c:pt>
                <c:pt idx="74">
                  <c:v>0.107169546186924</c:v>
                </c:pt>
                <c:pt idx="75">
                  <c:v>0.1066889688372612</c:v>
                </c:pt>
                <c:pt idx="76">
                  <c:v>0.1038054823875427</c:v>
                </c:pt>
                <c:pt idx="77">
                  <c:v>0.1033248975872994</c:v>
                </c:pt>
                <c:pt idx="78">
                  <c:v>0.1028443202376366</c:v>
                </c:pt>
                <c:pt idx="79">
                  <c:v>0.1018831580877304</c:v>
                </c:pt>
                <c:pt idx="80">
                  <c:v>0.09803850948810577</c:v>
                </c:pt>
                <c:pt idx="81">
                  <c:v>0.09323269873857498</c:v>
                </c:pt>
                <c:pt idx="82">
                  <c:v>0.08698514848947525</c:v>
                </c:pt>
                <c:pt idx="83">
                  <c:v>0.07833468914031982</c:v>
                </c:pt>
                <c:pt idx="84">
                  <c:v>0.07785411179065704</c:v>
                </c:pt>
                <c:pt idx="85">
                  <c:v>0.07785411179065704</c:v>
                </c:pt>
                <c:pt idx="86">
                  <c:v>0.07593178749084473</c:v>
                </c:pt>
                <c:pt idx="87">
                  <c:v>0.07497062534093857</c:v>
                </c:pt>
                <c:pt idx="88">
                  <c:v>0.07400946319103241</c:v>
                </c:pt>
                <c:pt idx="89">
                  <c:v>0.06920365244150162</c:v>
                </c:pt>
                <c:pt idx="90">
                  <c:v>0.06824249029159546</c:v>
                </c:pt>
                <c:pt idx="91">
                  <c:v>0.06463813781738281</c:v>
                </c:pt>
                <c:pt idx="92">
                  <c:v>0.06391726434230804</c:v>
                </c:pt>
                <c:pt idx="93">
                  <c:v>0.06343667954206467</c:v>
                </c:pt>
                <c:pt idx="94">
                  <c:v>0.06295610219240189</c:v>
                </c:pt>
                <c:pt idx="95">
                  <c:v>0.06103377789258957</c:v>
                </c:pt>
                <c:pt idx="96">
                  <c:v>0.06007261574268341</c:v>
                </c:pt>
                <c:pt idx="97">
                  <c:v>0.05478622391819954</c:v>
                </c:pt>
                <c:pt idx="98">
                  <c:v>0.05382506549358368</c:v>
                </c:pt>
                <c:pt idx="99">
                  <c:v>0.0533444844186306</c:v>
                </c:pt>
                <c:pt idx="100">
                  <c:v>0.05286390334367752</c:v>
                </c:pt>
                <c:pt idx="101">
                  <c:v>0.05190274119377136</c:v>
                </c:pt>
                <c:pt idx="102">
                  <c:v>0.05142216011881828</c:v>
                </c:pt>
                <c:pt idx="103">
                  <c:v>0.04709693044424057</c:v>
                </c:pt>
                <c:pt idx="104">
                  <c:v>0.04469402506947517</c:v>
                </c:pt>
                <c:pt idx="105">
                  <c:v>0.0442134439945221</c:v>
                </c:pt>
                <c:pt idx="106">
                  <c:v>0.04325228184461594</c:v>
                </c:pt>
                <c:pt idx="107">
                  <c:v>0.0394076369702816</c:v>
                </c:pt>
                <c:pt idx="108">
                  <c:v>0.03652415052056313</c:v>
                </c:pt>
                <c:pt idx="109">
                  <c:v>0.03556298837065697</c:v>
                </c:pt>
                <c:pt idx="110">
                  <c:v>0.03460182622075081</c:v>
                </c:pt>
                <c:pt idx="111">
                  <c:v>0.03412124514579773</c:v>
                </c:pt>
                <c:pt idx="112">
                  <c:v>0.03364066407084465</c:v>
                </c:pt>
                <c:pt idx="113">
                  <c:v>0.03171833977103233</c:v>
                </c:pt>
                <c:pt idx="114">
                  <c:v>0.02787369303405285</c:v>
                </c:pt>
                <c:pt idx="115">
                  <c:v>0.02739311195909977</c:v>
                </c:pt>
                <c:pt idx="116">
                  <c:v>0.02715282142162323</c:v>
                </c:pt>
                <c:pt idx="117">
                  <c:v>0.02691253274679184</c:v>
                </c:pt>
                <c:pt idx="118">
                  <c:v>0.02643195167183876</c:v>
                </c:pt>
                <c:pt idx="119">
                  <c:v>0.02595137059688568</c:v>
                </c:pt>
                <c:pt idx="120">
                  <c:v>0.02354846522212029</c:v>
                </c:pt>
                <c:pt idx="121">
                  <c:v>0.02258730307221413</c:v>
                </c:pt>
                <c:pt idx="122">
                  <c:v>0.02042469009757042</c:v>
                </c:pt>
                <c:pt idx="123">
                  <c:v>0.02018439956009388</c:v>
                </c:pt>
                <c:pt idx="124">
                  <c:v>0.01633975096046925</c:v>
                </c:pt>
                <c:pt idx="125">
                  <c:v>0.01633975096046925</c:v>
                </c:pt>
                <c:pt idx="126">
                  <c:v>0.0144174275919795</c:v>
                </c:pt>
                <c:pt idx="127">
                  <c:v>0.01393684651702642</c:v>
                </c:pt>
                <c:pt idx="128">
                  <c:v>0.01345626637339592</c:v>
                </c:pt>
                <c:pt idx="129">
                  <c:v>0.01201452314853668</c:v>
                </c:pt>
                <c:pt idx="130">
                  <c:v>0.01009219978004694</c:v>
                </c:pt>
                <c:pt idx="131">
                  <c:v>0.009611618705093861</c:v>
                </c:pt>
                <c:pt idx="132">
                  <c:v>0.008650456555187702</c:v>
                </c:pt>
                <c:pt idx="133">
                  <c:v>0.008650456555187702</c:v>
                </c:pt>
                <c:pt idx="134">
                  <c:v>0.008650456555187702</c:v>
                </c:pt>
                <c:pt idx="135">
                  <c:v>0.007689294870942831</c:v>
                </c:pt>
                <c:pt idx="136">
                  <c:v>0.007689294870942831</c:v>
                </c:pt>
                <c:pt idx="137">
                  <c:v>0.007689294870942831</c:v>
                </c:pt>
                <c:pt idx="138">
                  <c:v>0.007208713795989752</c:v>
                </c:pt>
                <c:pt idx="139">
                  <c:v>0.007208713795989752</c:v>
                </c:pt>
                <c:pt idx="140">
                  <c:v>0.006247552111744881</c:v>
                </c:pt>
                <c:pt idx="141">
                  <c:v>0.00504609989002347</c:v>
                </c:pt>
                <c:pt idx="142">
                  <c:v>0.00480580935254693</c:v>
                </c:pt>
                <c:pt idx="143">
                  <c:v>0.004325228277593851</c:v>
                </c:pt>
                <c:pt idx="144">
                  <c:v>0.003844647435471416</c:v>
                </c:pt>
                <c:pt idx="145">
                  <c:v>0.00336406659334898</c:v>
                </c:pt>
                <c:pt idx="146">
                  <c:v>0.001922323717735708</c:v>
                </c:pt>
                <c:pt idx="147">
                  <c:v>0.001922323717735708</c:v>
                </c:pt>
                <c:pt idx="148">
                  <c:v>0.0009611618588678539</c:v>
                </c:pt>
                <c:pt idx="149">
                  <c:v>0.0009611618588678539</c:v>
                </c:pt>
                <c:pt idx="150">
                  <c:v>0.0009611618588678539</c:v>
                </c:pt>
                <c:pt idx="15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54" totalsRowCount="1">
  <autoFilter ref="A2:H153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54" totalsRowCount="1">
  <autoFilter ref="A2:H153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4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152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</row>
    <row r="3" spans="1:8">
      <c r="A3" s="1" t="s">
        <v>1</v>
      </c>
      <c r="B3" s="2">
        <v>26.10260200500488</v>
      </c>
      <c r="C3" s="1">
        <v>21833</v>
      </c>
      <c r="D3" s="1">
        <v>6551</v>
      </c>
      <c r="E3" s="1">
        <v>6266</v>
      </c>
      <c r="F3" s="1">
        <v>284</v>
      </c>
      <c r="G3" s="1">
        <v>1</v>
      </c>
      <c r="H3" s="1">
        <v>21832</v>
      </c>
    </row>
    <row r="4" spans="1:8">
      <c r="A4" s="1" t="s">
        <v>2</v>
      </c>
      <c r="B4" s="2">
        <v>17.50295829772949</v>
      </c>
      <c r="C4" s="1">
        <v>14640</v>
      </c>
      <c r="D4" s="1">
        <v>1916</v>
      </c>
      <c r="E4" s="1">
        <v>1848</v>
      </c>
      <c r="F4" s="1">
        <v>0</v>
      </c>
      <c r="G4" s="1">
        <v>68</v>
      </c>
      <c r="H4" s="1">
        <v>14572</v>
      </c>
    </row>
    <row r="5" spans="1:8">
      <c r="A5" s="1" t="s">
        <v>3</v>
      </c>
      <c r="B5" s="2">
        <v>16.75214958190918</v>
      </c>
      <c r="C5" s="1">
        <v>14012</v>
      </c>
      <c r="D5" s="1">
        <v>974</v>
      </c>
      <c r="E5" s="1">
        <v>938</v>
      </c>
      <c r="F5" s="1">
        <v>0</v>
      </c>
      <c r="G5" s="1">
        <v>36</v>
      </c>
      <c r="H5" s="1">
        <v>13976</v>
      </c>
    </row>
    <row r="6" spans="1:8">
      <c r="A6" s="1" t="s">
        <v>4</v>
      </c>
      <c r="B6" s="2">
        <v>9.794005393981934</v>
      </c>
      <c r="C6" s="1">
        <v>8192</v>
      </c>
      <c r="D6" s="1">
        <v>184</v>
      </c>
      <c r="E6" s="1">
        <v>184</v>
      </c>
      <c r="F6" s="1">
        <v>0</v>
      </c>
      <c r="G6" s="1">
        <v>0</v>
      </c>
      <c r="H6" s="1">
        <v>8192</v>
      </c>
    </row>
    <row r="7" spans="1:8">
      <c r="A7" s="1" t="s">
        <v>5</v>
      </c>
      <c r="B7" s="2">
        <v>6.121253490447998</v>
      </c>
      <c r="C7" s="1">
        <v>5120</v>
      </c>
      <c r="D7" s="1">
        <v>444</v>
      </c>
      <c r="E7" s="1">
        <v>36</v>
      </c>
      <c r="F7" s="1">
        <v>408</v>
      </c>
      <c r="G7" s="1">
        <v>0</v>
      </c>
      <c r="H7" s="1">
        <v>5120</v>
      </c>
    </row>
    <row r="8" spans="1:8">
      <c r="A8" s="1" t="s">
        <v>6</v>
      </c>
      <c r="B8" s="2">
        <v>4.990256309509277</v>
      </c>
      <c r="C8" s="1">
        <v>4174</v>
      </c>
      <c r="D8" s="1">
        <v>46512</v>
      </c>
      <c r="E8" s="1">
        <v>43196</v>
      </c>
      <c r="F8" s="1">
        <v>3299</v>
      </c>
      <c r="G8" s="1">
        <v>17</v>
      </c>
      <c r="H8" s="1">
        <v>4157</v>
      </c>
    </row>
    <row r="9" spans="1:8">
      <c r="A9" s="1" t="s">
        <v>7</v>
      </c>
      <c r="B9" s="2">
        <v>4.62919807434082</v>
      </c>
      <c r="C9" s="1">
        <v>3872</v>
      </c>
      <c r="D9" s="1">
        <v>114</v>
      </c>
      <c r="E9" s="1">
        <v>114</v>
      </c>
      <c r="F9" s="1">
        <v>0</v>
      </c>
      <c r="G9" s="1">
        <v>0</v>
      </c>
      <c r="H9" s="1">
        <v>3872</v>
      </c>
    </row>
    <row r="10" spans="1:8">
      <c r="A10" s="1" t="s">
        <v>8</v>
      </c>
      <c r="B10" s="2">
        <v>3.620147466659546</v>
      </c>
      <c r="C10" s="1">
        <v>3028</v>
      </c>
      <c r="D10" s="1">
        <v>2808</v>
      </c>
      <c r="E10" s="1">
        <v>2740</v>
      </c>
      <c r="F10" s="1">
        <v>0</v>
      </c>
      <c r="G10" s="1">
        <v>68</v>
      </c>
      <c r="H10" s="1">
        <v>2960</v>
      </c>
    </row>
    <row r="11" spans="1:8">
      <c r="A11" s="1" t="s">
        <v>9</v>
      </c>
      <c r="B11" s="2">
        <v>2.199825525283814</v>
      </c>
      <c r="C11" s="1">
        <v>1840</v>
      </c>
      <c r="D11" s="1">
        <v>788</v>
      </c>
      <c r="E11" s="1">
        <v>180</v>
      </c>
      <c r="F11" s="1">
        <v>0</v>
      </c>
      <c r="G11" s="1">
        <v>608</v>
      </c>
      <c r="H11" s="1">
        <v>1232</v>
      </c>
    </row>
    <row r="12" spans="1:8">
      <c r="A12" s="1" t="s">
        <v>10</v>
      </c>
      <c r="B12" s="2">
        <v>1.890176057815552</v>
      </c>
      <c r="C12" s="1">
        <v>1581</v>
      </c>
      <c r="D12" s="1">
        <v>1729</v>
      </c>
      <c r="E12" s="1">
        <v>1724</v>
      </c>
      <c r="F12" s="1">
        <v>0</v>
      </c>
      <c r="G12" s="1">
        <v>5</v>
      </c>
      <c r="H12" s="1">
        <v>1576</v>
      </c>
    </row>
    <row r="13" spans="1:8">
      <c r="A13" s="1" t="s">
        <v>11</v>
      </c>
      <c r="B13" s="2">
        <v>1.250552892684937</v>
      </c>
      <c r="C13" s="1">
        <v>1046</v>
      </c>
      <c r="D13" s="1">
        <v>2216</v>
      </c>
      <c r="E13" s="1">
        <v>2142</v>
      </c>
      <c r="F13" s="1">
        <v>0</v>
      </c>
      <c r="G13" s="1">
        <v>74</v>
      </c>
      <c r="H13" s="1">
        <v>972</v>
      </c>
    </row>
    <row r="14" spans="1:8">
      <c r="A14" s="1" t="s">
        <v>12</v>
      </c>
      <c r="B14" s="2">
        <v>1.157299518585205</v>
      </c>
      <c r="C14" s="1">
        <v>968</v>
      </c>
      <c r="D14" s="1">
        <v>1610</v>
      </c>
      <c r="E14" s="1">
        <v>1578</v>
      </c>
      <c r="F14" s="1">
        <v>12</v>
      </c>
      <c r="G14" s="1">
        <v>20</v>
      </c>
      <c r="H14" s="1">
        <v>948</v>
      </c>
    </row>
    <row r="15" spans="1:8">
      <c r="A15" s="1" t="s">
        <v>13</v>
      </c>
      <c r="B15" s="2">
        <v>0.7986322641372681</v>
      </c>
      <c r="C15" s="1">
        <v>668</v>
      </c>
      <c r="D15" s="1">
        <v>1246</v>
      </c>
      <c r="E15" s="1">
        <v>1218</v>
      </c>
      <c r="F15" s="1">
        <v>0</v>
      </c>
      <c r="G15" s="1">
        <v>28</v>
      </c>
      <c r="H15" s="1">
        <v>640</v>
      </c>
    </row>
    <row r="16" spans="1:8">
      <c r="A16" s="1" t="s">
        <v>14</v>
      </c>
      <c r="B16" s="2">
        <v>0.7842856049537659</v>
      </c>
      <c r="C16" s="1">
        <v>656</v>
      </c>
      <c r="D16" s="1">
        <v>324</v>
      </c>
      <c r="E16" s="1">
        <v>324</v>
      </c>
      <c r="F16" s="1">
        <v>0</v>
      </c>
      <c r="G16" s="1">
        <v>0</v>
      </c>
      <c r="H16" s="1">
        <v>656</v>
      </c>
    </row>
    <row r="17" spans="1:8">
      <c r="A17" s="1" t="s">
        <v>15</v>
      </c>
      <c r="B17" s="2">
        <v>0.64081871509552</v>
      </c>
      <c r="C17" s="1">
        <v>536</v>
      </c>
      <c r="D17" s="1">
        <v>790</v>
      </c>
      <c r="E17" s="1">
        <v>254</v>
      </c>
      <c r="F17" s="1">
        <v>0</v>
      </c>
      <c r="G17" s="1">
        <v>536</v>
      </c>
      <c r="H17" s="1">
        <v>0</v>
      </c>
    </row>
    <row r="18" spans="1:8">
      <c r="A18" s="1" t="s">
        <v>16</v>
      </c>
      <c r="B18" s="2">
        <v>0.3395382761955261</v>
      </c>
      <c r="C18" s="1">
        <v>284</v>
      </c>
      <c r="D18" s="1">
        <v>578</v>
      </c>
      <c r="E18" s="1">
        <v>550</v>
      </c>
      <c r="F18" s="1">
        <v>0</v>
      </c>
      <c r="G18" s="1">
        <v>28</v>
      </c>
      <c r="H18" s="1">
        <v>256</v>
      </c>
    </row>
    <row r="19" spans="1:8">
      <c r="A19" s="1" t="s">
        <v>17</v>
      </c>
      <c r="B19" s="2">
        <v>0.2964982092380524</v>
      </c>
      <c r="C19" s="1">
        <v>248</v>
      </c>
      <c r="D19" s="1">
        <v>1882</v>
      </c>
      <c r="E19" s="1">
        <v>1762</v>
      </c>
      <c r="F19" s="1">
        <v>64</v>
      </c>
      <c r="G19" s="1">
        <v>56</v>
      </c>
      <c r="H19" s="1">
        <v>192</v>
      </c>
    </row>
    <row r="20" spans="1:8">
      <c r="A20" s="1" t="s">
        <v>18</v>
      </c>
      <c r="B20" s="2">
        <v>0.1888980567455292</v>
      </c>
      <c r="C20" s="1">
        <v>158</v>
      </c>
      <c r="D20" s="1">
        <v>446</v>
      </c>
      <c r="E20" s="1">
        <v>424</v>
      </c>
      <c r="F20" s="1">
        <v>20</v>
      </c>
      <c r="G20" s="1">
        <v>2</v>
      </c>
      <c r="H20" s="1">
        <v>156</v>
      </c>
    </row>
    <row r="21" spans="1:8">
      <c r="A21" s="1" t="s">
        <v>19</v>
      </c>
      <c r="B21" s="2">
        <v>0.1195557340979576</v>
      </c>
      <c r="C21" s="1">
        <v>100</v>
      </c>
      <c r="D21" s="1">
        <v>518</v>
      </c>
      <c r="E21" s="1">
        <v>418</v>
      </c>
      <c r="F21" s="1">
        <v>0</v>
      </c>
      <c r="G21" s="1">
        <v>100</v>
      </c>
      <c r="H21" s="1">
        <v>0</v>
      </c>
    </row>
    <row r="22" spans="1:8">
      <c r="A22" s="1" t="s">
        <v>20</v>
      </c>
      <c r="B22" s="2">
        <v>0.07651566714048386</v>
      </c>
      <c r="C22" s="1">
        <v>64</v>
      </c>
      <c r="D22" s="1">
        <v>860</v>
      </c>
      <c r="E22" s="1">
        <v>828</v>
      </c>
      <c r="F22" s="1">
        <v>0</v>
      </c>
      <c r="G22" s="1">
        <v>32</v>
      </c>
      <c r="H22" s="1">
        <v>32</v>
      </c>
    </row>
    <row r="23" spans="1:8">
      <c r="A23" s="1" t="s">
        <v>21</v>
      </c>
      <c r="B23" s="2">
        <v>0.0669512078166008</v>
      </c>
      <c r="C23" s="1">
        <v>56</v>
      </c>
      <c r="D23" s="1">
        <v>592</v>
      </c>
      <c r="E23" s="1">
        <v>564</v>
      </c>
      <c r="F23" s="1">
        <v>0</v>
      </c>
      <c r="G23" s="1">
        <v>28</v>
      </c>
      <c r="H23" s="1">
        <v>28</v>
      </c>
    </row>
    <row r="24" spans="1:8">
      <c r="A24" s="1" t="s">
        <v>22</v>
      </c>
      <c r="B24" s="2">
        <v>0.05738675221800804</v>
      </c>
      <c r="C24" s="1">
        <v>48</v>
      </c>
      <c r="D24" s="1">
        <v>68</v>
      </c>
      <c r="E24" s="1">
        <v>68</v>
      </c>
      <c r="F24" s="1">
        <v>0</v>
      </c>
      <c r="G24" s="1">
        <v>0</v>
      </c>
      <c r="H24" s="1">
        <v>48</v>
      </c>
    </row>
    <row r="25" spans="1:8">
      <c r="A25" s="1" t="s">
        <v>23</v>
      </c>
      <c r="B25" s="2">
        <v>0.05260452255606651</v>
      </c>
      <c r="C25" s="1">
        <v>44</v>
      </c>
      <c r="D25" s="1">
        <v>592</v>
      </c>
      <c r="E25" s="1">
        <v>592</v>
      </c>
      <c r="F25" s="1">
        <v>0</v>
      </c>
      <c r="G25" s="1">
        <v>0</v>
      </c>
      <c r="H25" s="1">
        <v>44</v>
      </c>
    </row>
    <row r="26" spans="1:8">
      <c r="A26" s="1" t="s">
        <v>24</v>
      </c>
      <c r="B26" s="2">
        <v>0.05260452255606651</v>
      </c>
      <c r="C26" s="1">
        <v>44</v>
      </c>
      <c r="D26" s="1">
        <v>1104</v>
      </c>
      <c r="E26" s="1">
        <v>1016</v>
      </c>
      <c r="F26" s="1">
        <v>88</v>
      </c>
      <c r="G26" s="1">
        <v>0</v>
      </c>
      <c r="H26" s="1">
        <v>44</v>
      </c>
    </row>
    <row r="27" spans="1:8">
      <c r="A27" s="1" t="s">
        <v>25</v>
      </c>
      <c r="B27" s="2">
        <v>0.03825783357024193</v>
      </c>
      <c r="C27" s="1">
        <v>32</v>
      </c>
      <c r="D27" s="1">
        <v>214</v>
      </c>
      <c r="E27" s="1">
        <v>162</v>
      </c>
      <c r="F27" s="1">
        <v>52</v>
      </c>
      <c r="G27" s="1">
        <v>0</v>
      </c>
      <c r="H27" s="1">
        <v>32</v>
      </c>
    </row>
    <row r="28" spans="1:8">
      <c r="A28" s="1" t="s">
        <v>26</v>
      </c>
      <c r="B28" s="2">
        <v>0.03825783357024193</v>
      </c>
      <c r="C28" s="1">
        <v>32</v>
      </c>
      <c r="D28" s="1">
        <v>8534</v>
      </c>
      <c r="E28" s="1">
        <v>1930</v>
      </c>
      <c r="F28" s="1">
        <v>6604</v>
      </c>
      <c r="G28" s="1">
        <v>0</v>
      </c>
      <c r="H28" s="1">
        <v>32</v>
      </c>
    </row>
    <row r="29" spans="1:8">
      <c r="A29" s="1" t="s">
        <v>27</v>
      </c>
      <c r="B29" s="2">
        <v>0.03586671873927116</v>
      </c>
      <c r="C29" s="1">
        <v>30</v>
      </c>
      <c r="D29" s="1">
        <v>3274</v>
      </c>
      <c r="E29" s="1">
        <v>3268</v>
      </c>
      <c r="F29" s="1">
        <v>0</v>
      </c>
      <c r="G29" s="1">
        <v>6</v>
      </c>
      <c r="H29" s="1">
        <v>24</v>
      </c>
    </row>
    <row r="30" spans="1:8">
      <c r="A30" s="1" t="s">
        <v>28</v>
      </c>
      <c r="B30" s="2">
        <v>0.02869337610900402</v>
      </c>
      <c r="C30" s="1">
        <v>24</v>
      </c>
      <c r="D30" s="1">
        <v>408</v>
      </c>
      <c r="E30" s="1">
        <v>408</v>
      </c>
      <c r="F30" s="1">
        <v>0</v>
      </c>
      <c r="G30" s="1">
        <v>0</v>
      </c>
      <c r="H30" s="1">
        <v>24</v>
      </c>
    </row>
    <row r="31" spans="1:8">
      <c r="A31" s="1" t="s">
        <v>29</v>
      </c>
      <c r="B31" s="2">
        <v>0.02869337610900402</v>
      </c>
      <c r="C31" s="1">
        <v>24</v>
      </c>
      <c r="D31" s="1">
        <v>740</v>
      </c>
      <c r="E31" s="1">
        <v>736</v>
      </c>
      <c r="F31" s="1">
        <v>4</v>
      </c>
      <c r="G31" s="1">
        <v>0</v>
      </c>
      <c r="H31" s="1">
        <v>24</v>
      </c>
    </row>
    <row r="32" spans="1:8">
      <c r="A32" s="1" t="s">
        <v>30</v>
      </c>
      <c r="B32" s="2">
        <v>0.02869337610900402</v>
      </c>
      <c r="C32" s="1">
        <v>24</v>
      </c>
      <c r="D32" s="1">
        <v>1342</v>
      </c>
      <c r="E32" s="1">
        <v>1342</v>
      </c>
      <c r="F32" s="1">
        <v>0</v>
      </c>
      <c r="G32" s="1">
        <v>0</v>
      </c>
      <c r="H32" s="1">
        <v>24</v>
      </c>
    </row>
    <row r="33" spans="1:8">
      <c r="A33" s="1" t="s">
        <v>31</v>
      </c>
      <c r="B33" s="2">
        <v>0.02869337610900402</v>
      </c>
      <c r="C33" s="1">
        <v>24</v>
      </c>
      <c r="D33" s="1">
        <v>720</v>
      </c>
      <c r="E33" s="1">
        <v>720</v>
      </c>
      <c r="F33" s="1">
        <v>0</v>
      </c>
      <c r="G33" s="1">
        <v>0</v>
      </c>
      <c r="H33" s="1">
        <v>24</v>
      </c>
    </row>
    <row r="34" spans="1:8">
      <c r="A34" s="1" t="s">
        <v>32</v>
      </c>
      <c r="B34" s="2">
        <v>0.02391114644706249</v>
      </c>
      <c r="C34" s="1">
        <v>20</v>
      </c>
      <c r="D34" s="1">
        <v>164</v>
      </c>
      <c r="E34" s="1">
        <v>164</v>
      </c>
      <c r="F34" s="1">
        <v>0</v>
      </c>
      <c r="G34" s="1">
        <v>0</v>
      </c>
      <c r="H34" s="1">
        <v>20</v>
      </c>
    </row>
    <row r="35" spans="1:8">
      <c r="A35" s="1" t="s">
        <v>33</v>
      </c>
      <c r="B35" s="2">
        <v>0.02391114644706249</v>
      </c>
      <c r="C35" s="1">
        <v>20</v>
      </c>
      <c r="D35" s="1">
        <v>603</v>
      </c>
      <c r="E35" s="1">
        <v>598</v>
      </c>
      <c r="F35" s="1">
        <v>5</v>
      </c>
      <c r="G35" s="1">
        <v>0</v>
      </c>
      <c r="H35" s="1">
        <v>20</v>
      </c>
    </row>
    <row r="36" spans="1:8">
      <c r="A36" s="1" t="s">
        <v>34</v>
      </c>
      <c r="B36" s="2">
        <v>0.02032447420060635</v>
      </c>
      <c r="C36" s="1">
        <v>17</v>
      </c>
      <c r="D36" s="1">
        <v>142</v>
      </c>
      <c r="E36" s="1">
        <v>126</v>
      </c>
      <c r="F36" s="1">
        <v>16</v>
      </c>
      <c r="G36" s="1">
        <v>0</v>
      </c>
      <c r="H36" s="1">
        <v>17</v>
      </c>
    </row>
    <row r="37" spans="1:8">
      <c r="A37" s="1" t="s">
        <v>35</v>
      </c>
      <c r="B37" s="2">
        <v>0.01912891678512096</v>
      </c>
      <c r="C37" s="1">
        <v>16</v>
      </c>
      <c r="D37" s="1">
        <v>186</v>
      </c>
      <c r="E37" s="1">
        <v>170</v>
      </c>
      <c r="F37" s="1">
        <v>0</v>
      </c>
      <c r="G37" s="1">
        <v>16</v>
      </c>
      <c r="H37" s="1">
        <v>0</v>
      </c>
    </row>
    <row r="38" spans="1:8">
      <c r="A38" s="1" t="s">
        <v>36</v>
      </c>
      <c r="B38" s="2">
        <v>0.01912891678512096</v>
      </c>
      <c r="C38" s="1">
        <v>16</v>
      </c>
      <c r="D38" s="1">
        <v>362</v>
      </c>
      <c r="E38" s="1">
        <v>346</v>
      </c>
      <c r="F38" s="1">
        <v>0</v>
      </c>
      <c r="G38" s="1">
        <v>16</v>
      </c>
      <c r="H38" s="1">
        <v>0</v>
      </c>
    </row>
    <row r="39" spans="1:8">
      <c r="A39" s="1" t="s">
        <v>37</v>
      </c>
      <c r="B39" s="2">
        <v>0.01912891678512096</v>
      </c>
      <c r="C39" s="1">
        <v>16</v>
      </c>
      <c r="D39" s="1">
        <v>140</v>
      </c>
      <c r="E39" s="1">
        <v>124</v>
      </c>
      <c r="F39" s="1">
        <v>0</v>
      </c>
      <c r="G39" s="1">
        <v>16</v>
      </c>
      <c r="H39" s="1">
        <v>0</v>
      </c>
    </row>
    <row r="40" spans="1:8">
      <c r="A40" s="1" t="s">
        <v>38</v>
      </c>
      <c r="B40" s="2">
        <v>0.01434668805450201</v>
      </c>
      <c r="C40" s="1">
        <v>12</v>
      </c>
      <c r="D40" s="1">
        <v>584</v>
      </c>
      <c r="E40" s="1">
        <v>572</v>
      </c>
      <c r="F40" s="1">
        <v>0</v>
      </c>
      <c r="G40" s="1">
        <v>12</v>
      </c>
      <c r="H40" s="1">
        <v>0</v>
      </c>
    </row>
    <row r="41" spans="1:8">
      <c r="A41" s="1" t="s">
        <v>39</v>
      </c>
      <c r="B41" s="2">
        <v>0.01434668805450201</v>
      </c>
      <c r="C41" s="1">
        <v>12</v>
      </c>
      <c r="D41" s="1">
        <v>222</v>
      </c>
      <c r="E41" s="1">
        <v>222</v>
      </c>
      <c r="F41" s="1">
        <v>0</v>
      </c>
      <c r="G41" s="1">
        <v>0</v>
      </c>
      <c r="H41" s="1">
        <v>12</v>
      </c>
    </row>
    <row r="42" spans="1:8">
      <c r="A42" s="1" t="s">
        <v>40</v>
      </c>
      <c r="B42" s="2">
        <v>0.01434668805450201</v>
      </c>
      <c r="C42" s="1">
        <v>12</v>
      </c>
      <c r="D42" s="1">
        <v>880</v>
      </c>
      <c r="E42" s="1">
        <v>868</v>
      </c>
      <c r="F42" s="1">
        <v>0</v>
      </c>
      <c r="G42" s="1">
        <v>12</v>
      </c>
      <c r="H42" s="1">
        <v>0</v>
      </c>
    </row>
    <row r="43" spans="1:8">
      <c r="A43" s="1" t="s">
        <v>41</v>
      </c>
      <c r="B43" s="2">
        <v>0.01434668805450201</v>
      </c>
      <c r="C43" s="1">
        <v>12</v>
      </c>
      <c r="D43" s="1">
        <v>906</v>
      </c>
      <c r="E43" s="1">
        <v>830</v>
      </c>
      <c r="F43" s="1">
        <v>64</v>
      </c>
      <c r="G43" s="1">
        <v>12</v>
      </c>
      <c r="H43" s="1">
        <v>0</v>
      </c>
    </row>
    <row r="44" spans="1:8">
      <c r="A44" s="1" t="s">
        <v>42</v>
      </c>
      <c r="B44" s="2">
        <v>0.01434668805450201</v>
      </c>
      <c r="C44" s="1">
        <v>12</v>
      </c>
      <c r="D44" s="1">
        <v>288</v>
      </c>
      <c r="E44" s="1">
        <v>272</v>
      </c>
      <c r="F44" s="1">
        <v>16</v>
      </c>
      <c r="G44" s="1">
        <v>0</v>
      </c>
      <c r="H44" s="1">
        <v>12</v>
      </c>
    </row>
    <row r="45" spans="1:8">
      <c r="A45" s="1" t="s">
        <v>43</v>
      </c>
      <c r="B45" s="2">
        <v>0.01315113063901663</v>
      </c>
      <c r="C45" s="1">
        <v>11</v>
      </c>
      <c r="D45" s="1">
        <v>1431</v>
      </c>
      <c r="E45" s="1">
        <v>1420</v>
      </c>
      <c r="F45" s="1">
        <v>0</v>
      </c>
      <c r="G45" s="1">
        <v>11</v>
      </c>
      <c r="H45" s="1">
        <v>0</v>
      </c>
    </row>
    <row r="46" spans="1:8">
      <c r="A46" s="1" t="s">
        <v>44</v>
      </c>
      <c r="B46" s="2">
        <v>0.01076001580804586</v>
      </c>
      <c r="C46" s="1">
        <v>9</v>
      </c>
      <c r="D46" s="1">
        <v>113</v>
      </c>
      <c r="E46" s="1">
        <v>104</v>
      </c>
      <c r="F46" s="1">
        <v>0</v>
      </c>
      <c r="G46" s="1">
        <v>9</v>
      </c>
      <c r="H46" s="1">
        <v>0</v>
      </c>
    </row>
    <row r="47" spans="1:8">
      <c r="A47" s="1" t="s">
        <v>45</v>
      </c>
      <c r="B47" s="2">
        <v>0.007173344027251005</v>
      </c>
      <c r="C47" s="1">
        <v>6</v>
      </c>
      <c r="D47" s="1">
        <v>326</v>
      </c>
      <c r="E47" s="1">
        <v>320</v>
      </c>
      <c r="F47" s="1">
        <v>0</v>
      </c>
      <c r="G47" s="1">
        <v>6</v>
      </c>
      <c r="H47" s="1">
        <v>0</v>
      </c>
    </row>
    <row r="48" spans="1:8">
      <c r="A48" s="1" t="s">
        <v>46</v>
      </c>
      <c r="B48" s="2">
        <v>0.004782229196280241</v>
      </c>
      <c r="C48" s="1">
        <v>4</v>
      </c>
      <c r="D48" s="1">
        <v>4</v>
      </c>
      <c r="E48" s="1">
        <v>0</v>
      </c>
      <c r="F48" s="1">
        <v>0</v>
      </c>
      <c r="G48" s="1">
        <v>4</v>
      </c>
      <c r="H48" s="1">
        <v>0</v>
      </c>
    </row>
    <row r="49" spans="1:8">
      <c r="A49" s="1" t="s">
        <v>47</v>
      </c>
      <c r="B49" s="2">
        <v>0.004782229196280241</v>
      </c>
      <c r="C49" s="1">
        <v>4</v>
      </c>
      <c r="D49" s="1">
        <v>40</v>
      </c>
      <c r="E49" s="1">
        <v>36</v>
      </c>
      <c r="F49" s="1">
        <v>0</v>
      </c>
      <c r="G49" s="1">
        <v>4</v>
      </c>
      <c r="H49" s="1">
        <v>0</v>
      </c>
    </row>
    <row r="50" spans="1:8">
      <c r="A50" s="1" t="s">
        <v>48</v>
      </c>
      <c r="B50" s="2">
        <v>0.004782229196280241</v>
      </c>
      <c r="C50" s="1">
        <v>4</v>
      </c>
      <c r="D50" s="1">
        <v>16</v>
      </c>
      <c r="E50" s="1">
        <v>12</v>
      </c>
      <c r="F50" s="1">
        <v>0</v>
      </c>
      <c r="G50" s="1">
        <v>4</v>
      </c>
      <c r="H50" s="1">
        <v>0</v>
      </c>
    </row>
    <row r="51" spans="1:8">
      <c r="A51" s="1" t="s">
        <v>49</v>
      </c>
      <c r="B51" s="2">
        <v>0.004782229196280241</v>
      </c>
      <c r="C51" s="1">
        <v>4</v>
      </c>
      <c r="D51" s="1">
        <v>810</v>
      </c>
      <c r="E51" s="1">
        <v>790</v>
      </c>
      <c r="F51" s="1">
        <v>16</v>
      </c>
      <c r="G51" s="1">
        <v>4</v>
      </c>
      <c r="H51" s="1">
        <v>0</v>
      </c>
    </row>
    <row r="52" spans="1:8">
      <c r="A52" s="1" t="s">
        <v>50</v>
      </c>
      <c r="B52" s="2">
        <v>0.004782229196280241</v>
      </c>
      <c r="C52" s="1">
        <v>4</v>
      </c>
      <c r="D52" s="1">
        <v>1196</v>
      </c>
      <c r="E52" s="1">
        <v>1176</v>
      </c>
      <c r="F52" s="1">
        <v>16</v>
      </c>
      <c r="G52" s="1">
        <v>4</v>
      </c>
      <c r="H52" s="1">
        <v>0</v>
      </c>
    </row>
    <row r="53" spans="1:8">
      <c r="A53" s="1" t="s">
        <v>51</v>
      </c>
      <c r="B53" s="2">
        <v>0.004782229196280241</v>
      </c>
      <c r="C53" s="1">
        <v>4</v>
      </c>
      <c r="D53" s="1">
        <v>1858</v>
      </c>
      <c r="E53" s="1">
        <v>1838</v>
      </c>
      <c r="F53" s="1">
        <v>16</v>
      </c>
      <c r="G53" s="1">
        <v>4</v>
      </c>
      <c r="H53" s="1">
        <v>0</v>
      </c>
    </row>
    <row r="54" spans="1:8">
      <c r="A54" s="1" t="s">
        <v>52</v>
      </c>
      <c r="B54" s="2">
        <v>0.004782229196280241</v>
      </c>
      <c r="C54" s="1">
        <v>4</v>
      </c>
      <c r="D54" s="1">
        <v>864</v>
      </c>
      <c r="E54" s="1">
        <v>844</v>
      </c>
      <c r="F54" s="1">
        <v>16</v>
      </c>
      <c r="G54" s="1">
        <v>4</v>
      </c>
      <c r="H54" s="1">
        <v>0</v>
      </c>
    </row>
    <row r="55" spans="1:8">
      <c r="A55" s="1" t="s">
        <v>53</v>
      </c>
      <c r="B55" s="2">
        <v>0.004782229196280241</v>
      </c>
      <c r="C55" s="1">
        <v>4</v>
      </c>
      <c r="D55" s="1">
        <v>720</v>
      </c>
      <c r="E55" s="1">
        <v>716</v>
      </c>
      <c r="F55" s="1">
        <v>0</v>
      </c>
      <c r="G55" s="1">
        <v>4</v>
      </c>
      <c r="H55" s="1">
        <v>0</v>
      </c>
    </row>
    <row r="56" spans="1:8">
      <c r="A56" s="1" t="s">
        <v>54</v>
      </c>
      <c r="B56" s="2">
        <v>0.004782229196280241</v>
      </c>
      <c r="C56" s="1">
        <v>4</v>
      </c>
      <c r="D56" s="1">
        <v>148</v>
      </c>
      <c r="E56" s="1">
        <v>144</v>
      </c>
      <c r="F56" s="1">
        <v>0</v>
      </c>
      <c r="G56" s="1">
        <v>4</v>
      </c>
      <c r="H56" s="1">
        <v>0</v>
      </c>
    </row>
    <row r="57" spans="1:8">
      <c r="A57" s="1" t="s">
        <v>55</v>
      </c>
      <c r="B57" s="2">
        <v>0.004782229196280241</v>
      </c>
      <c r="C57" s="1">
        <v>4</v>
      </c>
      <c r="D57" s="1">
        <v>284</v>
      </c>
      <c r="E57" s="1">
        <v>280</v>
      </c>
      <c r="F57" s="1">
        <v>0</v>
      </c>
      <c r="G57" s="1">
        <v>4</v>
      </c>
      <c r="H57" s="1">
        <v>0</v>
      </c>
    </row>
    <row r="58" spans="1:8">
      <c r="A58" s="1" t="s">
        <v>56</v>
      </c>
      <c r="B58" s="2">
        <v>0.002391114598140121</v>
      </c>
      <c r="C58" s="1">
        <v>2</v>
      </c>
      <c r="D58" s="1">
        <v>984</v>
      </c>
      <c r="E58" s="1">
        <v>934</v>
      </c>
      <c r="F58" s="1">
        <v>48</v>
      </c>
      <c r="G58" s="1">
        <v>2</v>
      </c>
      <c r="H58" s="1">
        <v>0</v>
      </c>
    </row>
    <row r="59" spans="1:8">
      <c r="A59" s="1" t="s">
        <v>57</v>
      </c>
      <c r="B59" s="2">
        <v>0.00119555729907006</v>
      </c>
      <c r="C59" s="1">
        <v>1</v>
      </c>
      <c r="D59" s="1">
        <v>629</v>
      </c>
      <c r="E59" s="1">
        <v>564</v>
      </c>
      <c r="F59" s="1">
        <v>64</v>
      </c>
      <c r="G59" s="1">
        <v>1</v>
      </c>
      <c r="H59" s="1">
        <v>0</v>
      </c>
    </row>
    <row r="60" spans="1:8">
      <c r="A60" s="1" t="s">
        <v>58</v>
      </c>
      <c r="B60" s="2">
        <v>0.00119555729907006</v>
      </c>
      <c r="C60" s="1">
        <v>1</v>
      </c>
      <c r="D60" s="1">
        <v>21</v>
      </c>
      <c r="E60" s="1">
        <v>4</v>
      </c>
      <c r="F60" s="1">
        <v>16</v>
      </c>
      <c r="G60" s="1">
        <v>1</v>
      </c>
      <c r="H60" s="1">
        <v>0</v>
      </c>
    </row>
    <row r="61" spans="1:8">
      <c r="A61" s="1" t="s">
        <v>59</v>
      </c>
      <c r="B61" s="2">
        <v>0.00119555729907006</v>
      </c>
      <c r="C61" s="1">
        <v>1</v>
      </c>
      <c r="D61" s="1">
        <v>1293</v>
      </c>
      <c r="E61" s="1">
        <v>1196</v>
      </c>
      <c r="F61" s="1">
        <v>96</v>
      </c>
      <c r="G61" s="1">
        <v>1</v>
      </c>
      <c r="H61" s="1">
        <v>0</v>
      </c>
    </row>
    <row r="62" spans="1:8">
      <c r="A62" s="1" t="s">
        <v>60</v>
      </c>
      <c r="B62" s="2">
        <v>0.00119555729907006</v>
      </c>
      <c r="C62" s="1">
        <v>1</v>
      </c>
      <c r="D62" s="1">
        <v>2573</v>
      </c>
      <c r="E62" s="1">
        <v>2364</v>
      </c>
      <c r="F62" s="1">
        <v>208</v>
      </c>
      <c r="G62" s="1">
        <v>1</v>
      </c>
      <c r="H62" s="1">
        <v>0</v>
      </c>
    </row>
    <row r="63" spans="1:8">
      <c r="A63" s="1" t="s">
        <v>61</v>
      </c>
      <c r="B63" s="2">
        <v>0.00119555729907006</v>
      </c>
      <c r="C63" s="1">
        <v>1</v>
      </c>
      <c r="D63" s="1">
        <v>3829</v>
      </c>
      <c r="E63" s="1">
        <v>3564</v>
      </c>
      <c r="F63" s="1">
        <v>264</v>
      </c>
      <c r="G63" s="1">
        <v>1</v>
      </c>
      <c r="H63" s="1">
        <v>0</v>
      </c>
    </row>
    <row r="64" spans="1:8">
      <c r="A64" s="1" t="s">
        <v>62</v>
      </c>
      <c r="B64" s="2">
        <v>0.00119555729907006</v>
      </c>
      <c r="C64" s="1">
        <v>1</v>
      </c>
      <c r="D64" s="1">
        <v>269</v>
      </c>
      <c r="E64" s="1">
        <v>268</v>
      </c>
      <c r="F64" s="1">
        <v>0</v>
      </c>
      <c r="G64" s="1">
        <v>1</v>
      </c>
      <c r="H64" s="1">
        <v>0</v>
      </c>
    </row>
    <row r="65" spans="1:8">
      <c r="A65" s="1" t="s">
        <v>63</v>
      </c>
      <c r="B65" s="2">
        <v>0.00119555729907006</v>
      </c>
      <c r="C65" s="1">
        <v>1</v>
      </c>
      <c r="D65" s="1">
        <v>1727</v>
      </c>
      <c r="E65" s="1">
        <v>1574</v>
      </c>
      <c r="F65" s="1">
        <v>152</v>
      </c>
      <c r="G65" s="1">
        <v>1</v>
      </c>
      <c r="H65" s="1">
        <v>0</v>
      </c>
    </row>
    <row r="66" spans="1:8">
      <c r="A66" s="1" t="s">
        <v>64</v>
      </c>
      <c r="B66" s="2">
        <v>0.00119555729907006</v>
      </c>
      <c r="C66" s="1">
        <v>1</v>
      </c>
      <c r="D66" s="1">
        <v>85</v>
      </c>
      <c r="E66" s="1">
        <v>84</v>
      </c>
      <c r="F66" s="1">
        <v>0</v>
      </c>
      <c r="G66" s="1">
        <v>1</v>
      </c>
      <c r="H66" s="1">
        <v>0</v>
      </c>
    </row>
    <row r="154" spans="1:8">
      <c r="A154" t="s">
        <v>153</v>
      </c>
      <c r="B154">
        <f>SUBTOTAL(109,[ram_percent])</f>
        <v>0</v>
      </c>
      <c r="C154">
        <f>SUBTOTAL(109,[ram])</f>
        <v>0</v>
      </c>
      <c r="D154">
        <f>SUBTOTAL(109,[flash])</f>
        <v>0</v>
      </c>
      <c r="E154">
        <f>SUBTOTAL(109,[Code])</f>
        <v>0</v>
      </c>
      <c r="F154">
        <f>SUBTOTAL(109,[RO_data])</f>
        <v>0</v>
      </c>
      <c r="G154">
        <f>SUBTOTAL(109,[RW_data])</f>
        <v>0</v>
      </c>
      <c r="H15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152</v>
      </c>
      <c r="B2" t="s">
        <v>161</v>
      </c>
      <c r="C2" t="s">
        <v>156</v>
      </c>
      <c r="D2" t="s">
        <v>155</v>
      </c>
      <c r="E2" t="s">
        <v>157</v>
      </c>
      <c r="F2" t="s">
        <v>158</v>
      </c>
      <c r="G2" t="s">
        <v>159</v>
      </c>
      <c r="H2" t="s">
        <v>160</v>
      </c>
    </row>
    <row r="3" spans="1:8">
      <c r="A3" s="1" t="s">
        <v>65</v>
      </c>
      <c r="B3" s="2">
        <v>30.66058158874512</v>
      </c>
      <c r="C3" s="1">
        <v>127598</v>
      </c>
      <c r="D3" s="1">
        <v>0</v>
      </c>
      <c r="E3" s="1">
        <v>5634</v>
      </c>
      <c r="F3" s="1">
        <v>121964</v>
      </c>
      <c r="G3" s="1">
        <v>0</v>
      </c>
      <c r="H3" s="1">
        <v>0</v>
      </c>
    </row>
    <row r="4" spans="1:8">
      <c r="A4" s="1" t="s">
        <v>66</v>
      </c>
      <c r="B4" s="2">
        <v>29.27218437194824</v>
      </c>
      <c r="C4" s="1">
        <v>121820</v>
      </c>
      <c r="D4" s="1">
        <v>0</v>
      </c>
      <c r="E4" s="1">
        <v>0</v>
      </c>
      <c r="F4" s="1">
        <v>121820</v>
      </c>
      <c r="G4" s="1">
        <v>0</v>
      </c>
      <c r="H4" s="1">
        <v>0</v>
      </c>
    </row>
    <row r="5" spans="1:8">
      <c r="A5" s="1" t="s">
        <v>6</v>
      </c>
      <c r="B5" s="2">
        <v>11.17638969421387</v>
      </c>
      <c r="C5" s="1">
        <v>46512</v>
      </c>
      <c r="D5" s="1">
        <v>4174</v>
      </c>
      <c r="E5" s="1">
        <v>43196</v>
      </c>
      <c r="F5" s="1">
        <v>3299</v>
      </c>
      <c r="G5" s="1">
        <v>17</v>
      </c>
      <c r="H5" s="1">
        <v>4157</v>
      </c>
    </row>
    <row r="6" spans="1:8">
      <c r="A6" s="1" t="s">
        <v>26</v>
      </c>
      <c r="B6" s="2">
        <v>2.050638914108276</v>
      </c>
      <c r="C6" s="1">
        <v>8534</v>
      </c>
      <c r="D6" s="1">
        <v>32</v>
      </c>
      <c r="E6" s="1">
        <v>1930</v>
      </c>
      <c r="F6" s="1">
        <v>6604</v>
      </c>
      <c r="G6" s="1">
        <v>0</v>
      </c>
      <c r="H6" s="1">
        <v>32</v>
      </c>
    </row>
    <row r="7" spans="1:8">
      <c r="A7" s="1" t="s">
        <v>1</v>
      </c>
      <c r="B7" s="2">
        <v>1.574142813682556</v>
      </c>
      <c r="C7" s="1">
        <v>6551</v>
      </c>
      <c r="D7" s="1">
        <v>21833</v>
      </c>
      <c r="E7" s="1">
        <v>6266</v>
      </c>
      <c r="F7" s="1">
        <v>284</v>
      </c>
      <c r="G7" s="1">
        <v>1</v>
      </c>
      <c r="H7" s="1">
        <v>21832</v>
      </c>
    </row>
    <row r="8" spans="1:8">
      <c r="A8" s="1" t="s">
        <v>67</v>
      </c>
      <c r="B8" s="2">
        <v>1.294685006141663</v>
      </c>
      <c r="C8" s="1">
        <v>5388</v>
      </c>
      <c r="D8" s="1">
        <v>0</v>
      </c>
      <c r="E8" s="1">
        <v>5248</v>
      </c>
      <c r="F8" s="1">
        <v>140</v>
      </c>
      <c r="G8" s="1">
        <v>0</v>
      </c>
      <c r="H8" s="1">
        <v>0</v>
      </c>
    </row>
    <row r="9" spans="1:8">
      <c r="A9" s="1" t="s">
        <v>61</v>
      </c>
      <c r="B9" s="2">
        <v>0.9200721979141235</v>
      </c>
      <c r="C9" s="1">
        <v>3829</v>
      </c>
      <c r="D9" s="1">
        <v>1</v>
      </c>
      <c r="E9" s="1">
        <v>3564</v>
      </c>
      <c r="F9" s="1">
        <v>264</v>
      </c>
      <c r="G9" s="1">
        <v>1</v>
      </c>
      <c r="H9" s="1">
        <v>0</v>
      </c>
    </row>
    <row r="10" spans="1:8">
      <c r="A10" s="1" t="s">
        <v>68</v>
      </c>
      <c r="B10" s="2">
        <v>0.8350093364715576</v>
      </c>
      <c r="C10" s="1">
        <v>3475</v>
      </c>
      <c r="D10" s="1">
        <v>0</v>
      </c>
      <c r="E10" s="1">
        <v>3450</v>
      </c>
      <c r="F10" s="1">
        <v>25</v>
      </c>
      <c r="G10" s="1">
        <v>0</v>
      </c>
      <c r="H10" s="1">
        <v>0</v>
      </c>
    </row>
    <row r="11" spans="1:8">
      <c r="A11" s="1" t="s">
        <v>27</v>
      </c>
      <c r="B11" s="2">
        <v>0.7867109775543213</v>
      </c>
      <c r="C11" s="1">
        <v>3274</v>
      </c>
      <c r="D11" s="1">
        <v>30</v>
      </c>
      <c r="E11" s="1">
        <v>3268</v>
      </c>
      <c r="F11" s="1">
        <v>0</v>
      </c>
      <c r="G11" s="1">
        <v>6</v>
      </c>
      <c r="H11" s="1">
        <v>24</v>
      </c>
    </row>
    <row r="12" spans="1:8">
      <c r="A12" s="1" t="s">
        <v>8</v>
      </c>
      <c r="B12" s="2">
        <v>0.6747356057167053</v>
      </c>
      <c r="C12" s="1">
        <v>2808</v>
      </c>
      <c r="D12" s="1">
        <v>3028</v>
      </c>
      <c r="E12" s="1">
        <v>2740</v>
      </c>
      <c r="F12" s="1">
        <v>0</v>
      </c>
      <c r="G12" s="1">
        <v>68</v>
      </c>
      <c r="H12" s="1">
        <v>2960</v>
      </c>
    </row>
    <row r="13" spans="1:8">
      <c r="A13" s="1" t="s">
        <v>69</v>
      </c>
      <c r="B13" s="2">
        <v>0.6285998225212097</v>
      </c>
      <c r="C13" s="1">
        <v>2616</v>
      </c>
      <c r="D13" s="1">
        <v>0</v>
      </c>
      <c r="E13" s="1">
        <v>2336</v>
      </c>
      <c r="F13" s="1">
        <v>280</v>
      </c>
      <c r="G13" s="1">
        <v>0</v>
      </c>
      <c r="H13" s="1">
        <v>0</v>
      </c>
    </row>
    <row r="14" spans="1:8">
      <c r="A14" s="1" t="s">
        <v>60</v>
      </c>
      <c r="B14" s="2">
        <v>0.6182673573493958</v>
      </c>
      <c r="C14" s="1">
        <v>2573</v>
      </c>
      <c r="D14" s="1">
        <v>1</v>
      </c>
      <c r="E14" s="1">
        <v>2364</v>
      </c>
      <c r="F14" s="1">
        <v>208</v>
      </c>
      <c r="G14" s="1">
        <v>1</v>
      </c>
      <c r="H14" s="1">
        <v>0</v>
      </c>
    </row>
    <row r="15" spans="1:8">
      <c r="A15" s="1" t="s">
        <v>70</v>
      </c>
      <c r="B15" s="2">
        <v>0.5728524923324585</v>
      </c>
      <c r="C15" s="1">
        <v>2384</v>
      </c>
      <c r="D15" s="1">
        <v>0</v>
      </c>
      <c r="E15" s="1">
        <v>2384</v>
      </c>
      <c r="F15" s="1">
        <v>0</v>
      </c>
      <c r="G15" s="1">
        <v>0</v>
      </c>
      <c r="H15" s="1">
        <v>0</v>
      </c>
    </row>
    <row r="16" spans="1:8">
      <c r="A16" s="1" t="s">
        <v>11</v>
      </c>
      <c r="B16" s="2">
        <v>0.5324836373329163</v>
      </c>
      <c r="C16" s="1">
        <v>2216</v>
      </c>
      <c r="D16" s="1">
        <v>1046</v>
      </c>
      <c r="E16" s="1">
        <v>2142</v>
      </c>
      <c r="F16" s="1">
        <v>0</v>
      </c>
      <c r="G16" s="1">
        <v>74</v>
      </c>
      <c r="H16" s="1">
        <v>972</v>
      </c>
    </row>
    <row r="17" spans="1:8">
      <c r="A17" s="1" t="s">
        <v>71</v>
      </c>
      <c r="B17" s="2">
        <v>0.5300807356834412</v>
      </c>
      <c r="C17" s="1">
        <v>2206</v>
      </c>
      <c r="D17" s="1">
        <v>0</v>
      </c>
      <c r="E17" s="1">
        <v>2206</v>
      </c>
      <c r="F17" s="1">
        <v>0</v>
      </c>
      <c r="G17" s="1">
        <v>0</v>
      </c>
      <c r="H17" s="1">
        <v>0</v>
      </c>
    </row>
    <row r="18" spans="1:8">
      <c r="A18" s="1" t="s">
        <v>72</v>
      </c>
      <c r="B18" s="2">
        <v>0.4820226728916168</v>
      </c>
      <c r="C18" s="1">
        <v>2006</v>
      </c>
      <c r="D18" s="1">
        <v>0</v>
      </c>
      <c r="E18" s="1">
        <v>2006</v>
      </c>
      <c r="F18" s="1">
        <v>0</v>
      </c>
      <c r="G18" s="1">
        <v>0</v>
      </c>
      <c r="H18" s="1">
        <v>0</v>
      </c>
    </row>
    <row r="19" spans="1:8">
      <c r="A19" s="1" t="s">
        <v>2</v>
      </c>
      <c r="B19" s="2">
        <v>0.4603965282440186</v>
      </c>
      <c r="C19" s="1">
        <v>1916</v>
      </c>
      <c r="D19" s="1">
        <v>14640</v>
      </c>
      <c r="E19" s="1">
        <v>1848</v>
      </c>
      <c r="F19" s="1">
        <v>0</v>
      </c>
      <c r="G19" s="1">
        <v>68</v>
      </c>
      <c r="H19" s="1">
        <v>14572</v>
      </c>
    </row>
    <row r="20" spans="1:8">
      <c r="A20" s="1" t="s">
        <v>17</v>
      </c>
      <c r="B20" s="2">
        <v>0.4522266387939453</v>
      </c>
      <c r="C20" s="1">
        <v>1882</v>
      </c>
      <c r="D20" s="1">
        <v>248</v>
      </c>
      <c r="E20" s="1">
        <v>1762</v>
      </c>
      <c r="F20" s="1">
        <v>64</v>
      </c>
      <c r="G20" s="1">
        <v>56</v>
      </c>
      <c r="H20" s="1">
        <v>192</v>
      </c>
    </row>
    <row r="21" spans="1:8">
      <c r="A21" s="1" t="s">
        <v>51</v>
      </c>
      <c r="B21" s="2">
        <v>0.4464596807956696</v>
      </c>
      <c r="C21" s="1">
        <v>1858</v>
      </c>
      <c r="D21" s="1">
        <v>4</v>
      </c>
      <c r="E21" s="1">
        <v>1838</v>
      </c>
      <c r="F21" s="1">
        <v>16</v>
      </c>
      <c r="G21" s="1">
        <v>4</v>
      </c>
      <c r="H21" s="1">
        <v>0</v>
      </c>
    </row>
    <row r="22" spans="1:8">
      <c r="A22" s="1" t="s">
        <v>73</v>
      </c>
      <c r="B22" s="2">
        <v>0.4233917891979218</v>
      </c>
      <c r="C22" s="1">
        <v>1762</v>
      </c>
      <c r="D22" s="1">
        <v>0</v>
      </c>
      <c r="E22" s="1">
        <v>1594</v>
      </c>
      <c r="F22" s="1">
        <v>168</v>
      </c>
      <c r="G22" s="1">
        <v>0</v>
      </c>
      <c r="H22" s="1">
        <v>0</v>
      </c>
    </row>
    <row r="23" spans="1:8">
      <c r="A23" s="1" t="s">
        <v>74</v>
      </c>
      <c r="B23" s="2">
        <v>0.4193068444728851</v>
      </c>
      <c r="C23" s="1">
        <v>1745</v>
      </c>
      <c r="D23" s="1">
        <v>0</v>
      </c>
      <c r="E23" s="1">
        <v>1368</v>
      </c>
      <c r="F23" s="1">
        <v>377</v>
      </c>
      <c r="G23" s="1">
        <v>0</v>
      </c>
      <c r="H23" s="1">
        <v>0</v>
      </c>
    </row>
    <row r="24" spans="1:8">
      <c r="A24" s="1" t="s">
        <v>10</v>
      </c>
      <c r="B24" s="2">
        <v>0.4154621958732605</v>
      </c>
      <c r="C24" s="1">
        <v>1729</v>
      </c>
      <c r="D24" s="1">
        <v>1581</v>
      </c>
      <c r="E24" s="1">
        <v>1724</v>
      </c>
      <c r="F24" s="1">
        <v>0</v>
      </c>
      <c r="G24" s="1">
        <v>5</v>
      </c>
      <c r="H24" s="1">
        <v>1576</v>
      </c>
    </row>
    <row r="25" spans="1:8">
      <c r="A25" s="1" t="s">
        <v>63</v>
      </c>
      <c r="B25" s="2">
        <v>0.4149816334247589</v>
      </c>
      <c r="C25" s="1">
        <v>1727</v>
      </c>
      <c r="D25" s="1">
        <v>1</v>
      </c>
      <c r="E25" s="1">
        <v>1574</v>
      </c>
      <c r="F25" s="1">
        <v>152</v>
      </c>
      <c r="G25" s="1">
        <v>1</v>
      </c>
      <c r="H25" s="1">
        <v>0</v>
      </c>
    </row>
    <row r="26" spans="1:8">
      <c r="A26" s="1" t="s">
        <v>75</v>
      </c>
      <c r="B26" s="2">
        <v>0.3969598412513733</v>
      </c>
      <c r="C26" s="1">
        <v>1652</v>
      </c>
      <c r="D26" s="1">
        <v>0</v>
      </c>
      <c r="E26" s="1">
        <v>1652</v>
      </c>
      <c r="F26" s="1">
        <v>0</v>
      </c>
      <c r="G26" s="1">
        <v>0</v>
      </c>
      <c r="H26" s="1">
        <v>0</v>
      </c>
    </row>
    <row r="27" spans="1:8">
      <c r="A27" s="1" t="s">
        <v>12</v>
      </c>
      <c r="B27" s="2">
        <v>0.3868676424026489</v>
      </c>
      <c r="C27" s="1">
        <v>1610</v>
      </c>
      <c r="D27" s="1">
        <v>968</v>
      </c>
      <c r="E27" s="1">
        <v>1578</v>
      </c>
      <c r="F27" s="1">
        <v>12</v>
      </c>
      <c r="G27" s="1">
        <v>20</v>
      </c>
      <c r="H27" s="1">
        <v>948</v>
      </c>
    </row>
    <row r="28" spans="1:8">
      <c r="A28" s="1" t="s">
        <v>76</v>
      </c>
      <c r="B28" s="2">
        <v>0.3719696402549744</v>
      </c>
      <c r="C28" s="1">
        <v>1548</v>
      </c>
      <c r="D28" s="1">
        <v>0</v>
      </c>
      <c r="E28" s="1">
        <v>1548</v>
      </c>
      <c r="F28" s="1">
        <v>0</v>
      </c>
      <c r="G28" s="1">
        <v>0</v>
      </c>
      <c r="H28" s="1">
        <v>0</v>
      </c>
    </row>
    <row r="29" spans="1:8">
      <c r="A29" s="1" t="s">
        <v>77</v>
      </c>
      <c r="B29" s="2">
        <v>0.3604356944561005</v>
      </c>
      <c r="C29" s="1">
        <v>1500</v>
      </c>
      <c r="D29" s="1">
        <v>0</v>
      </c>
      <c r="E29" s="1">
        <v>228</v>
      </c>
      <c r="F29" s="1">
        <v>1272</v>
      </c>
      <c r="G29" s="1">
        <v>0</v>
      </c>
      <c r="H29" s="1">
        <v>0</v>
      </c>
    </row>
    <row r="30" spans="1:8">
      <c r="A30" s="1" t="s">
        <v>78</v>
      </c>
      <c r="B30" s="2">
        <v>0.3527463972568512</v>
      </c>
      <c r="C30" s="1">
        <v>1468</v>
      </c>
      <c r="D30" s="1">
        <v>0</v>
      </c>
      <c r="E30" s="1">
        <v>1468</v>
      </c>
      <c r="F30" s="1">
        <v>0</v>
      </c>
      <c r="G30" s="1">
        <v>0</v>
      </c>
      <c r="H30" s="1">
        <v>0</v>
      </c>
    </row>
    <row r="31" spans="1:8">
      <c r="A31" s="1" t="s">
        <v>79</v>
      </c>
      <c r="B31" s="2">
        <v>0.3503434956073761</v>
      </c>
      <c r="C31" s="1">
        <v>1458</v>
      </c>
      <c r="D31" s="1">
        <v>0</v>
      </c>
      <c r="E31" s="1">
        <v>1458</v>
      </c>
      <c r="F31" s="1">
        <v>0</v>
      </c>
      <c r="G31" s="1">
        <v>0</v>
      </c>
      <c r="H31" s="1">
        <v>0</v>
      </c>
    </row>
    <row r="32" spans="1:8">
      <c r="A32" s="1" t="s">
        <v>43</v>
      </c>
      <c r="B32" s="2">
        <v>0.3438556492328644</v>
      </c>
      <c r="C32" s="1">
        <v>1431</v>
      </c>
      <c r="D32" s="1">
        <v>11</v>
      </c>
      <c r="E32" s="1">
        <v>1420</v>
      </c>
      <c r="F32" s="1">
        <v>0</v>
      </c>
      <c r="G32" s="1">
        <v>11</v>
      </c>
      <c r="H32" s="1">
        <v>0</v>
      </c>
    </row>
    <row r="33" spans="1:8">
      <c r="A33" s="1" t="s">
        <v>30</v>
      </c>
      <c r="B33" s="2">
        <v>0.3224698007106781</v>
      </c>
      <c r="C33" s="1">
        <v>1342</v>
      </c>
      <c r="D33" s="1">
        <v>24</v>
      </c>
      <c r="E33" s="1">
        <v>1342</v>
      </c>
      <c r="F33" s="1">
        <v>0</v>
      </c>
      <c r="G33" s="1">
        <v>0</v>
      </c>
      <c r="H33" s="1">
        <v>24</v>
      </c>
    </row>
    <row r="34" spans="1:8">
      <c r="A34" s="1" t="s">
        <v>80</v>
      </c>
      <c r="B34" s="2">
        <v>0.3210280537605286</v>
      </c>
      <c r="C34" s="1">
        <v>1336</v>
      </c>
      <c r="D34" s="1">
        <v>0</v>
      </c>
      <c r="E34" s="1">
        <v>1216</v>
      </c>
      <c r="F34" s="1">
        <v>120</v>
      </c>
      <c r="G34" s="1">
        <v>0</v>
      </c>
      <c r="H34" s="1">
        <v>0</v>
      </c>
    </row>
    <row r="35" spans="1:8">
      <c r="A35" s="1" t="s">
        <v>59</v>
      </c>
      <c r="B35" s="2">
        <v>0.3106955587863922</v>
      </c>
      <c r="C35" s="1">
        <v>1293</v>
      </c>
      <c r="D35" s="1">
        <v>1</v>
      </c>
      <c r="E35" s="1">
        <v>1196</v>
      </c>
      <c r="F35" s="1">
        <v>96</v>
      </c>
      <c r="G35" s="1">
        <v>1</v>
      </c>
      <c r="H35" s="1">
        <v>0</v>
      </c>
    </row>
    <row r="36" spans="1:8">
      <c r="A36" s="1" t="s">
        <v>81</v>
      </c>
      <c r="B36" s="2">
        <v>0.3099747002124786</v>
      </c>
      <c r="C36" s="1">
        <v>1290</v>
      </c>
      <c r="D36" s="1">
        <v>0</v>
      </c>
      <c r="E36" s="1">
        <v>1290</v>
      </c>
      <c r="F36" s="1">
        <v>0</v>
      </c>
      <c r="G36" s="1">
        <v>0</v>
      </c>
      <c r="H36" s="1">
        <v>0</v>
      </c>
    </row>
    <row r="37" spans="1:8">
      <c r="A37" s="1" t="s">
        <v>13</v>
      </c>
      <c r="B37" s="2">
        <v>0.2994019091129303</v>
      </c>
      <c r="C37" s="1">
        <v>1246</v>
      </c>
      <c r="D37" s="1">
        <v>668</v>
      </c>
      <c r="E37" s="1">
        <v>1218</v>
      </c>
      <c r="F37" s="1">
        <v>0</v>
      </c>
      <c r="G37" s="1">
        <v>28</v>
      </c>
      <c r="H37" s="1">
        <v>640</v>
      </c>
    </row>
    <row r="38" spans="1:8">
      <c r="A38" s="1" t="s">
        <v>82</v>
      </c>
      <c r="B38" s="2">
        <v>0.2984407544136047</v>
      </c>
      <c r="C38" s="1">
        <v>1242</v>
      </c>
      <c r="D38" s="1">
        <v>0</v>
      </c>
      <c r="E38" s="1">
        <v>1242</v>
      </c>
      <c r="F38" s="1">
        <v>0</v>
      </c>
      <c r="G38" s="1">
        <v>0</v>
      </c>
      <c r="H38" s="1">
        <v>0</v>
      </c>
    </row>
    <row r="39" spans="1:8">
      <c r="A39" s="1" t="s">
        <v>50</v>
      </c>
      <c r="B39" s="2">
        <v>0.2873874008655548</v>
      </c>
      <c r="C39" s="1">
        <v>1196</v>
      </c>
      <c r="D39" s="1">
        <v>4</v>
      </c>
      <c r="E39" s="1">
        <v>1176</v>
      </c>
      <c r="F39" s="1">
        <v>16</v>
      </c>
      <c r="G39" s="1">
        <v>4</v>
      </c>
      <c r="H39" s="1">
        <v>0</v>
      </c>
    </row>
    <row r="40" spans="1:8">
      <c r="A40" s="1" t="s">
        <v>83</v>
      </c>
      <c r="B40" s="2">
        <v>0.2873874008655548</v>
      </c>
      <c r="C40" s="1">
        <v>1196</v>
      </c>
      <c r="D40" s="1">
        <v>0</v>
      </c>
      <c r="E40" s="1">
        <v>1196</v>
      </c>
      <c r="F40" s="1">
        <v>0</v>
      </c>
      <c r="G40" s="1">
        <v>0</v>
      </c>
      <c r="H40" s="1">
        <v>0</v>
      </c>
    </row>
    <row r="41" spans="1:8">
      <c r="A41" s="1" t="s">
        <v>84</v>
      </c>
      <c r="B41" s="2">
        <v>0.277775764465332</v>
      </c>
      <c r="C41" s="1">
        <v>1156</v>
      </c>
      <c r="D41" s="1">
        <v>0</v>
      </c>
      <c r="E41" s="1">
        <v>1092</v>
      </c>
      <c r="F41" s="1">
        <v>64</v>
      </c>
      <c r="G41" s="1">
        <v>0</v>
      </c>
      <c r="H41" s="1">
        <v>0</v>
      </c>
    </row>
    <row r="42" spans="1:8">
      <c r="A42" s="1" t="s">
        <v>24</v>
      </c>
      <c r="B42" s="2">
        <v>0.2652806639671326</v>
      </c>
      <c r="C42" s="1">
        <v>1104</v>
      </c>
      <c r="D42" s="1">
        <v>44</v>
      </c>
      <c r="E42" s="1">
        <v>1016</v>
      </c>
      <c r="F42" s="1">
        <v>88</v>
      </c>
      <c r="G42" s="1">
        <v>0</v>
      </c>
      <c r="H42" s="1">
        <v>44</v>
      </c>
    </row>
    <row r="43" spans="1:8">
      <c r="A43" s="1" t="s">
        <v>85</v>
      </c>
      <c r="B43" s="2">
        <v>0.2431739419698715</v>
      </c>
      <c r="C43" s="1">
        <v>1012</v>
      </c>
      <c r="D43" s="1">
        <v>0</v>
      </c>
      <c r="E43" s="1">
        <v>1012</v>
      </c>
      <c r="F43" s="1">
        <v>0</v>
      </c>
      <c r="G43" s="1">
        <v>0</v>
      </c>
      <c r="H43" s="1">
        <v>0</v>
      </c>
    </row>
    <row r="44" spans="1:8">
      <c r="A44" s="1" t="s">
        <v>56</v>
      </c>
      <c r="B44" s="2">
        <v>0.236445814371109</v>
      </c>
      <c r="C44" s="1">
        <v>984</v>
      </c>
      <c r="D44" s="1">
        <v>2</v>
      </c>
      <c r="E44" s="1">
        <v>934</v>
      </c>
      <c r="F44" s="1">
        <v>48</v>
      </c>
      <c r="G44" s="1">
        <v>2</v>
      </c>
      <c r="H44" s="1">
        <v>0</v>
      </c>
    </row>
    <row r="45" spans="1:8">
      <c r="A45" s="1" t="s">
        <v>3</v>
      </c>
      <c r="B45" s="2">
        <v>0.2340429127216339</v>
      </c>
      <c r="C45" s="1">
        <v>974</v>
      </c>
      <c r="D45" s="1">
        <v>14012</v>
      </c>
      <c r="E45" s="1">
        <v>938</v>
      </c>
      <c r="F45" s="1">
        <v>0</v>
      </c>
      <c r="G45" s="1">
        <v>36</v>
      </c>
      <c r="H45" s="1">
        <v>13976</v>
      </c>
    </row>
    <row r="46" spans="1:8">
      <c r="A46" s="1" t="s">
        <v>86</v>
      </c>
      <c r="B46" s="2">
        <v>0.2301982641220093</v>
      </c>
      <c r="C46" s="1">
        <v>958</v>
      </c>
      <c r="D46" s="1">
        <v>0</v>
      </c>
      <c r="E46" s="1">
        <v>958</v>
      </c>
      <c r="F46" s="1">
        <v>0</v>
      </c>
      <c r="G46" s="1">
        <v>0</v>
      </c>
      <c r="H46" s="1">
        <v>0</v>
      </c>
    </row>
    <row r="47" spans="1:8">
      <c r="A47" s="1" t="s">
        <v>41</v>
      </c>
      <c r="B47" s="2">
        <v>0.2177031636238098</v>
      </c>
      <c r="C47" s="1">
        <v>906</v>
      </c>
      <c r="D47" s="1">
        <v>12</v>
      </c>
      <c r="E47" s="1">
        <v>830</v>
      </c>
      <c r="F47" s="1">
        <v>64</v>
      </c>
      <c r="G47" s="1">
        <v>12</v>
      </c>
      <c r="H47" s="1">
        <v>0</v>
      </c>
    </row>
    <row r="48" spans="1:8">
      <c r="A48" s="1" t="s">
        <v>40</v>
      </c>
      <c r="B48" s="2">
        <v>0.2114556133747101</v>
      </c>
      <c r="C48" s="1">
        <v>880</v>
      </c>
      <c r="D48" s="1">
        <v>12</v>
      </c>
      <c r="E48" s="1">
        <v>868</v>
      </c>
      <c r="F48" s="1">
        <v>0</v>
      </c>
      <c r="G48" s="1">
        <v>12</v>
      </c>
      <c r="H48" s="1">
        <v>0</v>
      </c>
    </row>
    <row r="49" spans="1:8">
      <c r="A49" s="1" t="s">
        <v>52</v>
      </c>
      <c r="B49" s="2">
        <v>0.2076109647750855</v>
      </c>
      <c r="C49" s="1">
        <v>864</v>
      </c>
      <c r="D49" s="1">
        <v>4</v>
      </c>
      <c r="E49" s="1">
        <v>844</v>
      </c>
      <c r="F49" s="1">
        <v>16</v>
      </c>
      <c r="G49" s="1">
        <v>4</v>
      </c>
      <c r="H49" s="1">
        <v>0</v>
      </c>
    </row>
    <row r="50" spans="1:8">
      <c r="A50" s="1" t="s">
        <v>20</v>
      </c>
      <c r="B50" s="2">
        <v>0.2066497951745987</v>
      </c>
      <c r="C50" s="1">
        <v>860</v>
      </c>
      <c r="D50" s="1">
        <v>64</v>
      </c>
      <c r="E50" s="1">
        <v>828</v>
      </c>
      <c r="F50" s="1">
        <v>0</v>
      </c>
      <c r="G50" s="1">
        <v>32</v>
      </c>
      <c r="H50" s="1">
        <v>32</v>
      </c>
    </row>
    <row r="51" spans="1:8">
      <c r="A51" s="1" t="s">
        <v>49</v>
      </c>
      <c r="B51" s="2">
        <v>0.194635272026062</v>
      </c>
      <c r="C51" s="1">
        <v>810</v>
      </c>
      <c r="D51" s="1">
        <v>4</v>
      </c>
      <c r="E51" s="1">
        <v>790</v>
      </c>
      <c r="F51" s="1">
        <v>16</v>
      </c>
      <c r="G51" s="1">
        <v>4</v>
      </c>
      <c r="H51" s="1">
        <v>0</v>
      </c>
    </row>
    <row r="52" spans="1:8">
      <c r="A52" s="1" t="s">
        <v>15</v>
      </c>
      <c r="B52" s="2">
        <v>0.1898294687271118</v>
      </c>
      <c r="C52" s="1">
        <v>790</v>
      </c>
      <c r="D52" s="1">
        <v>536</v>
      </c>
      <c r="E52" s="1">
        <v>254</v>
      </c>
      <c r="F52" s="1">
        <v>0</v>
      </c>
      <c r="G52" s="1">
        <v>536</v>
      </c>
      <c r="H52" s="1">
        <v>0</v>
      </c>
    </row>
    <row r="53" spans="1:8">
      <c r="A53" s="1" t="s">
        <v>9</v>
      </c>
      <c r="B53" s="2">
        <v>0.189348891377449</v>
      </c>
      <c r="C53" s="1">
        <v>788</v>
      </c>
      <c r="D53" s="1">
        <v>1840</v>
      </c>
      <c r="E53" s="1">
        <v>180</v>
      </c>
      <c r="F53" s="1">
        <v>0</v>
      </c>
      <c r="G53" s="1">
        <v>608</v>
      </c>
      <c r="H53" s="1">
        <v>1232</v>
      </c>
    </row>
    <row r="54" spans="1:8">
      <c r="A54" s="1" t="s">
        <v>87</v>
      </c>
      <c r="B54" s="2">
        <v>0.1874265670776367</v>
      </c>
      <c r="C54" s="1">
        <v>780</v>
      </c>
      <c r="D54" s="1">
        <v>0</v>
      </c>
      <c r="E54" s="1">
        <v>724</v>
      </c>
      <c r="F54" s="1">
        <v>56</v>
      </c>
      <c r="G54" s="1">
        <v>0</v>
      </c>
      <c r="H54" s="1">
        <v>0</v>
      </c>
    </row>
    <row r="55" spans="1:8">
      <c r="A55" s="1" t="s">
        <v>88</v>
      </c>
      <c r="B55" s="2">
        <v>0.1797372698783875</v>
      </c>
      <c r="C55" s="1">
        <v>748</v>
      </c>
      <c r="D55" s="1">
        <v>0</v>
      </c>
      <c r="E55" s="1">
        <v>684</v>
      </c>
      <c r="F55" s="1">
        <v>64</v>
      </c>
      <c r="G55" s="1">
        <v>0</v>
      </c>
      <c r="H55" s="1">
        <v>0</v>
      </c>
    </row>
    <row r="56" spans="1:8">
      <c r="A56" s="1" t="s">
        <v>29</v>
      </c>
      <c r="B56" s="2">
        <v>0.1778149455785751</v>
      </c>
      <c r="C56" s="1">
        <v>740</v>
      </c>
      <c r="D56" s="1">
        <v>24</v>
      </c>
      <c r="E56" s="1">
        <v>736</v>
      </c>
      <c r="F56" s="1">
        <v>4</v>
      </c>
      <c r="G56" s="1">
        <v>0</v>
      </c>
      <c r="H56" s="1">
        <v>24</v>
      </c>
    </row>
    <row r="57" spans="1:8">
      <c r="A57" s="1" t="s">
        <v>53</v>
      </c>
      <c r="B57" s="2">
        <v>0.1730091273784638</v>
      </c>
      <c r="C57" s="1">
        <v>720</v>
      </c>
      <c r="D57" s="1">
        <v>4</v>
      </c>
      <c r="E57" s="1">
        <v>716</v>
      </c>
      <c r="F57" s="1">
        <v>0</v>
      </c>
      <c r="G57" s="1">
        <v>4</v>
      </c>
      <c r="H57" s="1">
        <v>0</v>
      </c>
    </row>
    <row r="58" spans="1:8">
      <c r="A58" s="1" t="s">
        <v>31</v>
      </c>
      <c r="B58" s="2">
        <v>0.1730091273784638</v>
      </c>
      <c r="C58" s="1">
        <v>720</v>
      </c>
      <c r="D58" s="1">
        <v>24</v>
      </c>
      <c r="E58" s="1">
        <v>720</v>
      </c>
      <c r="F58" s="1">
        <v>0</v>
      </c>
      <c r="G58" s="1">
        <v>0</v>
      </c>
      <c r="H58" s="1">
        <v>24</v>
      </c>
    </row>
    <row r="59" spans="1:8">
      <c r="A59" s="1" t="s">
        <v>89</v>
      </c>
      <c r="B59" s="2">
        <v>0.1686839014291763</v>
      </c>
      <c r="C59" s="1">
        <v>702</v>
      </c>
      <c r="D59" s="1">
        <v>0</v>
      </c>
      <c r="E59" s="1">
        <v>702</v>
      </c>
      <c r="F59" s="1">
        <v>0</v>
      </c>
      <c r="G59" s="1">
        <v>0</v>
      </c>
      <c r="H59" s="1">
        <v>0</v>
      </c>
    </row>
    <row r="60" spans="1:8">
      <c r="A60" s="1" t="s">
        <v>90</v>
      </c>
      <c r="B60" s="2">
        <v>0.1605140268802643</v>
      </c>
      <c r="C60" s="1">
        <v>668</v>
      </c>
      <c r="D60" s="1">
        <v>0</v>
      </c>
      <c r="E60" s="1">
        <v>668</v>
      </c>
      <c r="F60" s="1">
        <v>0</v>
      </c>
      <c r="G60" s="1">
        <v>0</v>
      </c>
      <c r="H60" s="1">
        <v>0</v>
      </c>
    </row>
    <row r="61" spans="1:8">
      <c r="A61" s="1" t="s">
        <v>57</v>
      </c>
      <c r="B61" s="2">
        <v>0.1511427015066147</v>
      </c>
      <c r="C61" s="1">
        <v>629</v>
      </c>
      <c r="D61" s="1">
        <v>1</v>
      </c>
      <c r="E61" s="1">
        <v>564</v>
      </c>
      <c r="F61" s="1">
        <v>64</v>
      </c>
      <c r="G61" s="1">
        <v>1</v>
      </c>
      <c r="H61" s="1">
        <v>0</v>
      </c>
    </row>
    <row r="62" spans="1:8">
      <c r="A62" s="1" t="s">
        <v>91</v>
      </c>
      <c r="B62" s="2">
        <v>0.1484995037317276</v>
      </c>
      <c r="C62" s="1">
        <v>618</v>
      </c>
      <c r="D62" s="1">
        <v>0</v>
      </c>
      <c r="E62" s="1">
        <v>618</v>
      </c>
      <c r="F62" s="1">
        <v>0</v>
      </c>
      <c r="G62" s="1">
        <v>0</v>
      </c>
      <c r="H62" s="1">
        <v>0</v>
      </c>
    </row>
    <row r="63" spans="1:8">
      <c r="A63" s="1" t="s">
        <v>92</v>
      </c>
      <c r="B63" s="2">
        <v>0.1484995037317276</v>
      </c>
      <c r="C63" s="1">
        <v>618</v>
      </c>
      <c r="D63" s="1">
        <v>0</v>
      </c>
      <c r="E63" s="1">
        <v>570</v>
      </c>
      <c r="F63" s="1">
        <v>48</v>
      </c>
      <c r="G63" s="1">
        <v>0</v>
      </c>
      <c r="H63" s="1">
        <v>0</v>
      </c>
    </row>
    <row r="64" spans="1:8">
      <c r="A64" s="1" t="s">
        <v>93</v>
      </c>
      <c r="B64" s="2">
        <v>0.1480189263820648</v>
      </c>
      <c r="C64" s="1">
        <v>616</v>
      </c>
      <c r="D64" s="1">
        <v>0</v>
      </c>
      <c r="E64" s="1">
        <v>326</v>
      </c>
      <c r="F64" s="1">
        <v>290</v>
      </c>
      <c r="G64" s="1">
        <v>0</v>
      </c>
      <c r="H64" s="1">
        <v>0</v>
      </c>
    </row>
    <row r="65" spans="1:8">
      <c r="A65" s="1" t="s">
        <v>33</v>
      </c>
      <c r="B65" s="2">
        <v>0.144895151257515</v>
      </c>
      <c r="C65" s="1">
        <v>603</v>
      </c>
      <c r="D65" s="1">
        <v>20</v>
      </c>
      <c r="E65" s="1">
        <v>598</v>
      </c>
      <c r="F65" s="1">
        <v>5</v>
      </c>
      <c r="G65" s="1">
        <v>0</v>
      </c>
      <c r="H65" s="1">
        <v>20</v>
      </c>
    </row>
    <row r="66" spans="1:8">
      <c r="A66" s="1" t="s">
        <v>23</v>
      </c>
      <c r="B66" s="2">
        <v>0.1422519534826279</v>
      </c>
      <c r="C66" s="1">
        <v>592</v>
      </c>
      <c r="D66" s="1">
        <v>44</v>
      </c>
      <c r="E66" s="1">
        <v>592</v>
      </c>
      <c r="F66" s="1">
        <v>0</v>
      </c>
      <c r="G66" s="1">
        <v>0</v>
      </c>
      <c r="H66" s="1">
        <v>44</v>
      </c>
    </row>
    <row r="67" spans="1:8">
      <c r="A67" s="1" t="s">
        <v>21</v>
      </c>
      <c r="B67" s="2">
        <v>0.1422519534826279</v>
      </c>
      <c r="C67" s="1">
        <v>592</v>
      </c>
      <c r="D67" s="1">
        <v>56</v>
      </c>
      <c r="E67" s="1">
        <v>564</v>
      </c>
      <c r="F67" s="1">
        <v>0</v>
      </c>
      <c r="G67" s="1">
        <v>28</v>
      </c>
      <c r="H67" s="1">
        <v>28</v>
      </c>
    </row>
    <row r="68" spans="1:8">
      <c r="A68" s="1" t="s">
        <v>94</v>
      </c>
      <c r="B68" s="2">
        <v>0.1417713761329651</v>
      </c>
      <c r="C68" s="1">
        <v>590</v>
      </c>
      <c r="D68" s="1">
        <v>0</v>
      </c>
      <c r="E68" s="1">
        <v>590</v>
      </c>
      <c r="F68" s="1">
        <v>0</v>
      </c>
      <c r="G68" s="1">
        <v>0</v>
      </c>
      <c r="H68" s="1">
        <v>0</v>
      </c>
    </row>
    <row r="69" spans="1:8">
      <c r="A69" s="1" t="s">
        <v>38</v>
      </c>
      <c r="B69" s="2">
        <v>0.1403296291828156</v>
      </c>
      <c r="C69" s="1">
        <v>584</v>
      </c>
      <c r="D69" s="1">
        <v>12</v>
      </c>
      <c r="E69" s="1">
        <v>572</v>
      </c>
      <c r="F69" s="1">
        <v>0</v>
      </c>
      <c r="G69" s="1">
        <v>12</v>
      </c>
      <c r="H69" s="1">
        <v>0</v>
      </c>
    </row>
    <row r="70" spans="1:8">
      <c r="A70" s="1" t="s">
        <v>16</v>
      </c>
      <c r="B70" s="2">
        <v>0.138887882232666</v>
      </c>
      <c r="C70" s="1">
        <v>578</v>
      </c>
      <c r="D70" s="1">
        <v>284</v>
      </c>
      <c r="E70" s="1">
        <v>550</v>
      </c>
      <c r="F70" s="1">
        <v>0</v>
      </c>
      <c r="G70" s="1">
        <v>28</v>
      </c>
      <c r="H70" s="1">
        <v>256</v>
      </c>
    </row>
    <row r="71" spans="1:8">
      <c r="A71" s="1" t="s">
        <v>19</v>
      </c>
      <c r="B71" s="2">
        <v>0.1244704574346542</v>
      </c>
      <c r="C71" s="1">
        <v>518</v>
      </c>
      <c r="D71" s="1">
        <v>100</v>
      </c>
      <c r="E71" s="1">
        <v>418</v>
      </c>
      <c r="F71" s="1">
        <v>0</v>
      </c>
      <c r="G71" s="1">
        <v>100</v>
      </c>
      <c r="H71" s="1">
        <v>0</v>
      </c>
    </row>
    <row r="72" spans="1:8">
      <c r="A72" s="1" t="s">
        <v>95</v>
      </c>
      <c r="B72" s="2">
        <v>0.1225481331348419</v>
      </c>
      <c r="C72" s="1">
        <v>510</v>
      </c>
      <c r="D72" s="1">
        <v>0</v>
      </c>
      <c r="E72" s="1">
        <v>510</v>
      </c>
      <c r="F72" s="1">
        <v>0</v>
      </c>
      <c r="G72" s="1">
        <v>0</v>
      </c>
      <c r="H72" s="1">
        <v>0</v>
      </c>
    </row>
    <row r="73" spans="1:8">
      <c r="A73" s="1" t="s">
        <v>96</v>
      </c>
      <c r="B73" s="2">
        <v>0.119664654135704</v>
      </c>
      <c r="C73" s="1">
        <v>498</v>
      </c>
      <c r="D73" s="1">
        <v>0</v>
      </c>
      <c r="E73" s="1">
        <v>498</v>
      </c>
      <c r="F73" s="1">
        <v>0</v>
      </c>
      <c r="G73" s="1">
        <v>0</v>
      </c>
      <c r="H73" s="1">
        <v>0</v>
      </c>
    </row>
    <row r="74" spans="1:8">
      <c r="A74" s="1" t="s">
        <v>97</v>
      </c>
      <c r="B74" s="2">
        <v>0.1187034919857979</v>
      </c>
      <c r="C74" s="1">
        <v>494</v>
      </c>
      <c r="D74" s="1">
        <v>0</v>
      </c>
      <c r="E74" s="1">
        <v>494</v>
      </c>
      <c r="F74" s="1">
        <v>0</v>
      </c>
      <c r="G74" s="1">
        <v>0</v>
      </c>
      <c r="H74" s="1">
        <v>0</v>
      </c>
    </row>
    <row r="75" spans="1:8">
      <c r="A75" s="1" t="s">
        <v>98</v>
      </c>
      <c r="B75" s="2">
        <v>0.1182229071855545</v>
      </c>
      <c r="C75" s="1">
        <v>492</v>
      </c>
      <c r="D75" s="1">
        <v>0</v>
      </c>
      <c r="E75" s="1">
        <v>492</v>
      </c>
      <c r="F75" s="1">
        <v>0</v>
      </c>
      <c r="G75" s="1">
        <v>0</v>
      </c>
      <c r="H75" s="1">
        <v>0</v>
      </c>
    </row>
    <row r="76" spans="1:8">
      <c r="A76" s="1" t="s">
        <v>99</v>
      </c>
      <c r="B76" s="2">
        <v>0.1119753569364548</v>
      </c>
      <c r="C76" s="1">
        <v>466</v>
      </c>
      <c r="D76" s="1">
        <v>0</v>
      </c>
      <c r="E76" s="1">
        <v>466</v>
      </c>
      <c r="F76" s="1">
        <v>0</v>
      </c>
      <c r="G76" s="1">
        <v>0</v>
      </c>
      <c r="H76" s="1">
        <v>0</v>
      </c>
    </row>
    <row r="77" spans="1:8">
      <c r="A77" s="1" t="s">
        <v>18</v>
      </c>
      <c r="B77" s="2">
        <v>0.107169546186924</v>
      </c>
      <c r="C77" s="1">
        <v>446</v>
      </c>
      <c r="D77" s="1">
        <v>158</v>
      </c>
      <c r="E77" s="1">
        <v>424</v>
      </c>
      <c r="F77" s="1">
        <v>20</v>
      </c>
      <c r="G77" s="1">
        <v>2</v>
      </c>
      <c r="H77" s="1">
        <v>156</v>
      </c>
    </row>
    <row r="78" spans="1:8">
      <c r="A78" s="1" t="s">
        <v>5</v>
      </c>
      <c r="B78" s="2">
        <v>0.1066889688372612</v>
      </c>
      <c r="C78" s="1">
        <v>444</v>
      </c>
      <c r="D78" s="1">
        <v>5120</v>
      </c>
      <c r="E78" s="1">
        <v>36</v>
      </c>
      <c r="F78" s="1">
        <v>408</v>
      </c>
      <c r="G78" s="1">
        <v>0</v>
      </c>
      <c r="H78" s="1">
        <v>5120</v>
      </c>
    </row>
    <row r="79" spans="1:8">
      <c r="A79" s="1" t="s">
        <v>100</v>
      </c>
      <c r="B79" s="2">
        <v>0.1038054823875427</v>
      </c>
      <c r="C79" s="1">
        <v>432</v>
      </c>
      <c r="D79" s="1">
        <v>0</v>
      </c>
      <c r="E79" s="1">
        <v>432</v>
      </c>
      <c r="F79" s="1">
        <v>0</v>
      </c>
      <c r="G79" s="1">
        <v>0</v>
      </c>
      <c r="H79" s="1">
        <v>0</v>
      </c>
    </row>
    <row r="80" spans="1:8">
      <c r="A80" s="1" t="s">
        <v>101</v>
      </c>
      <c r="B80" s="2">
        <v>0.1033248975872994</v>
      </c>
      <c r="C80" s="1">
        <v>430</v>
      </c>
      <c r="D80" s="1">
        <v>0</v>
      </c>
      <c r="E80" s="1">
        <v>430</v>
      </c>
      <c r="F80" s="1">
        <v>0</v>
      </c>
      <c r="G80" s="1">
        <v>0</v>
      </c>
      <c r="H80" s="1">
        <v>0</v>
      </c>
    </row>
    <row r="81" spans="1:8">
      <c r="A81" s="1" t="s">
        <v>102</v>
      </c>
      <c r="B81" s="2">
        <v>0.1028443202376366</v>
      </c>
      <c r="C81" s="1">
        <v>428</v>
      </c>
      <c r="D81" s="1">
        <v>0</v>
      </c>
      <c r="E81" s="1">
        <v>364</v>
      </c>
      <c r="F81" s="1">
        <v>64</v>
      </c>
      <c r="G81" s="1">
        <v>0</v>
      </c>
      <c r="H81" s="1">
        <v>0</v>
      </c>
    </row>
    <row r="82" spans="1:8">
      <c r="A82" s="1" t="s">
        <v>103</v>
      </c>
      <c r="B82" s="2">
        <v>0.1018831580877304</v>
      </c>
      <c r="C82" s="1">
        <v>424</v>
      </c>
      <c r="D82" s="1">
        <v>0</v>
      </c>
      <c r="E82" s="1">
        <v>424</v>
      </c>
      <c r="F82" s="1">
        <v>0</v>
      </c>
      <c r="G82" s="1">
        <v>0</v>
      </c>
      <c r="H82" s="1">
        <v>0</v>
      </c>
    </row>
    <row r="83" spans="1:8">
      <c r="A83" s="1" t="s">
        <v>28</v>
      </c>
      <c r="B83" s="2">
        <v>0.09803850948810577</v>
      </c>
      <c r="C83" s="1">
        <v>408</v>
      </c>
      <c r="D83" s="1">
        <v>24</v>
      </c>
      <c r="E83" s="1">
        <v>408</v>
      </c>
      <c r="F83" s="1">
        <v>0</v>
      </c>
      <c r="G83" s="1">
        <v>0</v>
      </c>
      <c r="H83" s="1">
        <v>24</v>
      </c>
    </row>
    <row r="84" spans="1:8">
      <c r="A84" s="1" t="s">
        <v>104</v>
      </c>
      <c r="B84" s="2">
        <v>0.09323269873857498</v>
      </c>
      <c r="C84" s="1">
        <v>388</v>
      </c>
      <c r="D84" s="1">
        <v>0</v>
      </c>
      <c r="E84" s="1">
        <v>388</v>
      </c>
      <c r="F84" s="1">
        <v>0</v>
      </c>
      <c r="G84" s="1">
        <v>0</v>
      </c>
      <c r="H84" s="1">
        <v>0</v>
      </c>
    </row>
    <row r="85" spans="1:8">
      <c r="A85" s="1" t="s">
        <v>36</v>
      </c>
      <c r="B85" s="2">
        <v>0.08698514848947525</v>
      </c>
      <c r="C85" s="1">
        <v>362</v>
      </c>
      <c r="D85" s="1">
        <v>16</v>
      </c>
      <c r="E85" s="1">
        <v>346</v>
      </c>
      <c r="F85" s="1">
        <v>0</v>
      </c>
      <c r="G85" s="1">
        <v>16</v>
      </c>
      <c r="H85" s="1">
        <v>0</v>
      </c>
    </row>
    <row r="86" spans="1:8">
      <c r="A86" s="1" t="s">
        <v>45</v>
      </c>
      <c r="B86" s="2">
        <v>0.07833468914031982</v>
      </c>
      <c r="C86" s="1">
        <v>326</v>
      </c>
      <c r="D86" s="1">
        <v>6</v>
      </c>
      <c r="E86" s="1">
        <v>320</v>
      </c>
      <c r="F86" s="1">
        <v>0</v>
      </c>
      <c r="G86" s="1">
        <v>6</v>
      </c>
      <c r="H86" s="1">
        <v>0</v>
      </c>
    </row>
    <row r="87" spans="1:8">
      <c r="A87" s="1" t="s">
        <v>105</v>
      </c>
      <c r="B87" s="2">
        <v>0.07785411179065704</v>
      </c>
      <c r="C87" s="1">
        <v>324</v>
      </c>
      <c r="D87" s="1">
        <v>0</v>
      </c>
      <c r="E87" s="1">
        <v>324</v>
      </c>
      <c r="F87" s="1">
        <v>0</v>
      </c>
      <c r="G87" s="1">
        <v>0</v>
      </c>
      <c r="H87" s="1">
        <v>0</v>
      </c>
    </row>
    <row r="88" spans="1:8">
      <c r="A88" s="1" t="s">
        <v>14</v>
      </c>
      <c r="B88" s="2">
        <v>0.07785411179065704</v>
      </c>
      <c r="C88" s="1">
        <v>324</v>
      </c>
      <c r="D88" s="1">
        <v>656</v>
      </c>
      <c r="E88" s="1">
        <v>324</v>
      </c>
      <c r="F88" s="1">
        <v>0</v>
      </c>
      <c r="G88" s="1">
        <v>0</v>
      </c>
      <c r="H88" s="1">
        <v>656</v>
      </c>
    </row>
    <row r="89" spans="1:8">
      <c r="A89" s="1" t="s">
        <v>106</v>
      </c>
      <c r="B89" s="2">
        <v>0.07593178749084473</v>
      </c>
      <c r="C89" s="1">
        <v>316</v>
      </c>
      <c r="D89" s="1">
        <v>0</v>
      </c>
      <c r="E89" s="1">
        <v>292</v>
      </c>
      <c r="F89" s="1">
        <v>24</v>
      </c>
      <c r="G89" s="1">
        <v>0</v>
      </c>
      <c r="H89" s="1">
        <v>0</v>
      </c>
    </row>
    <row r="90" spans="1:8">
      <c r="A90" s="1" t="s">
        <v>107</v>
      </c>
      <c r="B90" s="2">
        <v>0.07497062534093857</v>
      </c>
      <c r="C90" s="1">
        <v>312</v>
      </c>
      <c r="D90" s="1">
        <v>0</v>
      </c>
      <c r="E90" s="1">
        <v>312</v>
      </c>
      <c r="F90" s="1">
        <v>0</v>
      </c>
      <c r="G90" s="1">
        <v>0</v>
      </c>
      <c r="H90" s="1">
        <v>0</v>
      </c>
    </row>
    <row r="91" spans="1:8">
      <c r="A91" s="1" t="s">
        <v>108</v>
      </c>
      <c r="B91" s="2">
        <v>0.07400946319103241</v>
      </c>
      <c r="C91" s="1">
        <v>308</v>
      </c>
      <c r="D91" s="1">
        <v>0</v>
      </c>
      <c r="E91" s="1">
        <v>308</v>
      </c>
      <c r="F91" s="1">
        <v>0</v>
      </c>
      <c r="G91" s="1">
        <v>0</v>
      </c>
      <c r="H91" s="1">
        <v>0</v>
      </c>
    </row>
    <row r="92" spans="1:8">
      <c r="A92" s="1" t="s">
        <v>42</v>
      </c>
      <c r="B92" s="2">
        <v>0.06920365244150162</v>
      </c>
      <c r="C92" s="1">
        <v>288</v>
      </c>
      <c r="D92" s="1">
        <v>12</v>
      </c>
      <c r="E92" s="1">
        <v>272</v>
      </c>
      <c r="F92" s="1">
        <v>16</v>
      </c>
      <c r="G92" s="1">
        <v>0</v>
      </c>
      <c r="H92" s="1">
        <v>12</v>
      </c>
    </row>
    <row r="93" spans="1:8">
      <c r="A93" s="1" t="s">
        <v>55</v>
      </c>
      <c r="B93" s="2">
        <v>0.06824249029159546</v>
      </c>
      <c r="C93" s="1">
        <v>284</v>
      </c>
      <c r="D93" s="1">
        <v>4</v>
      </c>
      <c r="E93" s="1">
        <v>280</v>
      </c>
      <c r="F93" s="1">
        <v>0</v>
      </c>
      <c r="G93" s="1">
        <v>4</v>
      </c>
      <c r="H93" s="1">
        <v>0</v>
      </c>
    </row>
    <row r="94" spans="1:8">
      <c r="A94" s="1" t="s">
        <v>62</v>
      </c>
      <c r="B94" s="2">
        <v>0.06463813781738281</v>
      </c>
      <c r="C94" s="1">
        <v>269</v>
      </c>
      <c r="D94" s="1">
        <v>1</v>
      </c>
      <c r="E94" s="1">
        <v>268</v>
      </c>
      <c r="F94" s="1">
        <v>0</v>
      </c>
      <c r="G94" s="1">
        <v>1</v>
      </c>
      <c r="H94" s="1">
        <v>0</v>
      </c>
    </row>
    <row r="95" spans="1:8">
      <c r="A95" s="1" t="s">
        <v>109</v>
      </c>
      <c r="B95" s="2">
        <v>0.06391726434230804</v>
      </c>
      <c r="C95" s="1">
        <v>266</v>
      </c>
      <c r="D95" s="1">
        <v>0</v>
      </c>
      <c r="E95" s="1">
        <v>266</v>
      </c>
      <c r="F95" s="1">
        <v>0</v>
      </c>
      <c r="G95" s="1">
        <v>0</v>
      </c>
      <c r="H95" s="1">
        <v>0</v>
      </c>
    </row>
    <row r="96" spans="1:8">
      <c r="A96" s="1" t="s">
        <v>110</v>
      </c>
      <c r="B96" s="2">
        <v>0.06343667954206467</v>
      </c>
      <c r="C96" s="1">
        <v>264</v>
      </c>
      <c r="D96" s="1">
        <v>0</v>
      </c>
      <c r="E96" s="1">
        <v>264</v>
      </c>
      <c r="F96" s="1">
        <v>0</v>
      </c>
      <c r="G96" s="1">
        <v>0</v>
      </c>
      <c r="H96" s="1">
        <v>0</v>
      </c>
    </row>
    <row r="97" spans="1:8">
      <c r="A97" s="1" t="s">
        <v>111</v>
      </c>
      <c r="B97" s="2">
        <v>0.06295610219240189</v>
      </c>
      <c r="C97" s="1">
        <v>262</v>
      </c>
      <c r="D97" s="1">
        <v>0</v>
      </c>
      <c r="E97" s="1">
        <v>262</v>
      </c>
      <c r="F97" s="1">
        <v>0</v>
      </c>
      <c r="G97" s="1">
        <v>0</v>
      </c>
      <c r="H97" s="1">
        <v>0</v>
      </c>
    </row>
    <row r="98" spans="1:8">
      <c r="A98" s="1" t="s">
        <v>112</v>
      </c>
      <c r="B98" s="2">
        <v>0.06103377789258957</v>
      </c>
      <c r="C98" s="1">
        <v>254</v>
      </c>
      <c r="D98" s="1">
        <v>0</v>
      </c>
      <c r="E98" s="1">
        <v>254</v>
      </c>
      <c r="F98" s="1">
        <v>0</v>
      </c>
      <c r="G98" s="1">
        <v>0</v>
      </c>
      <c r="H98" s="1">
        <v>0</v>
      </c>
    </row>
    <row r="99" spans="1:8">
      <c r="A99" s="1" t="s">
        <v>113</v>
      </c>
      <c r="B99" s="2">
        <v>0.06007261574268341</v>
      </c>
      <c r="C99" s="1">
        <v>250</v>
      </c>
      <c r="D99" s="1">
        <v>0</v>
      </c>
      <c r="E99" s="1">
        <v>250</v>
      </c>
      <c r="F99" s="1">
        <v>0</v>
      </c>
      <c r="G99" s="1">
        <v>0</v>
      </c>
      <c r="H99" s="1">
        <v>0</v>
      </c>
    </row>
    <row r="100" spans="1:8">
      <c r="A100" s="1" t="s">
        <v>114</v>
      </c>
      <c r="B100" s="2">
        <v>0.05478622391819954</v>
      </c>
      <c r="C100" s="1">
        <v>228</v>
      </c>
      <c r="D100" s="1">
        <v>0</v>
      </c>
      <c r="E100" s="1">
        <v>204</v>
      </c>
      <c r="F100" s="1">
        <v>24</v>
      </c>
      <c r="G100" s="1">
        <v>0</v>
      </c>
      <c r="H100" s="1">
        <v>0</v>
      </c>
    </row>
    <row r="101" spans="1:8">
      <c r="A101" s="1" t="s">
        <v>115</v>
      </c>
      <c r="B101" s="2">
        <v>0.05382506549358368</v>
      </c>
      <c r="C101" s="1">
        <v>224</v>
      </c>
      <c r="D101" s="1">
        <v>0</v>
      </c>
      <c r="E101" s="1">
        <v>216</v>
      </c>
      <c r="F101" s="1">
        <v>8</v>
      </c>
      <c r="G101" s="1">
        <v>0</v>
      </c>
      <c r="H101" s="1">
        <v>0</v>
      </c>
    </row>
    <row r="102" spans="1:8">
      <c r="A102" s="1" t="s">
        <v>39</v>
      </c>
      <c r="B102" s="2">
        <v>0.0533444844186306</v>
      </c>
      <c r="C102" s="1">
        <v>222</v>
      </c>
      <c r="D102" s="1">
        <v>12</v>
      </c>
      <c r="E102" s="1">
        <v>222</v>
      </c>
      <c r="F102" s="1">
        <v>0</v>
      </c>
      <c r="G102" s="1">
        <v>0</v>
      </c>
      <c r="H102" s="1">
        <v>12</v>
      </c>
    </row>
    <row r="103" spans="1:8">
      <c r="A103" s="1" t="s">
        <v>116</v>
      </c>
      <c r="B103" s="2">
        <v>0.05286390334367752</v>
      </c>
      <c r="C103" s="1">
        <v>220</v>
      </c>
      <c r="D103" s="1">
        <v>0</v>
      </c>
      <c r="E103" s="1">
        <v>220</v>
      </c>
      <c r="F103" s="1">
        <v>0</v>
      </c>
      <c r="G103" s="1">
        <v>0</v>
      </c>
      <c r="H103" s="1">
        <v>0</v>
      </c>
    </row>
    <row r="104" spans="1:8">
      <c r="A104" s="1" t="s">
        <v>117</v>
      </c>
      <c r="B104" s="2">
        <v>0.05190274119377136</v>
      </c>
      <c r="C104" s="1">
        <v>216</v>
      </c>
      <c r="D104" s="1">
        <v>0</v>
      </c>
      <c r="E104" s="1">
        <v>216</v>
      </c>
      <c r="F104" s="1">
        <v>0</v>
      </c>
      <c r="G104" s="1">
        <v>0</v>
      </c>
      <c r="H104" s="1">
        <v>0</v>
      </c>
    </row>
    <row r="105" spans="1:8">
      <c r="A105" s="1" t="s">
        <v>25</v>
      </c>
      <c r="B105" s="2">
        <v>0.05142216011881828</v>
      </c>
      <c r="C105" s="1">
        <v>214</v>
      </c>
      <c r="D105" s="1">
        <v>32</v>
      </c>
      <c r="E105" s="1">
        <v>162</v>
      </c>
      <c r="F105" s="1">
        <v>52</v>
      </c>
      <c r="G105" s="1">
        <v>0</v>
      </c>
      <c r="H105" s="1">
        <v>32</v>
      </c>
    </row>
    <row r="106" spans="1:8">
      <c r="A106" s="1" t="s">
        <v>118</v>
      </c>
      <c r="B106" s="2">
        <v>0.04709693044424057</v>
      </c>
      <c r="C106" s="1">
        <v>196</v>
      </c>
      <c r="D106" s="1">
        <v>0</v>
      </c>
      <c r="E106" s="1">
        <v>196</v>
      </c>
      <c r="F106" s="1">
        <v>0</v>
      </c>
      <c r="G106" s="1">
        <v>0</v>
      </c>
      <c r="H106" s="1">
        <v>0</v>
      </c>
    </row>
    <row r="107" spans="1:8">
      <c r="A107" s="1" t="s">
        <v>35</v>
      </c>
      <c r="B107" s="2">
        <v>0.04469402506947517</v>
      </c>
      <c r="C107" s="1">
        <v>186</v>
      </c>
      <c r="D107" s="1">
        <v>16</v>
      </c>
      <c r="E107" s="1">
        <v>170</v>
      </c>
      <c r="F107" s="1">
        <v>0</v>
      </c>
      <c r="G107" s="1">
        <v>16</v>
      </c>
      <c r="H107" s="1">
        <v>0</v>
      </c>
    </row>
    <row r="108" spans="1:8">
      <c r="A108" s="1" t="s">
        <v>4</v>
      </c>
      <c r="B108" s="2">
        <v>0.0442134439945221</v>
      </c>
      <c r="C108" s="1">
        <v>184</v>
      </c>
      <c r="D108" s="1">
        <v>8192</v>
      </c>
      <c r="E108" s="1">
        <v>184</v>
      </c>
      <c r="F108" s="1">
        <v>0</v>
      </c>
      <c r="G108" s="1">
        <v>0</v>
      </c>
      <c r="H108" s="1">
        <v>8192</v>
      </c>
    </row>
    <row r="109" spans="1:8">
      <c r="A109" s="1" t="s">
        <v>119</v>
      </c>
      <c r="B109" s="2">
        <v>0.04325228184461594</v>
      </c>
      <c r="C109" s="1">
        <v>180</v>
      </c>
      <c r="D109" s="1">
        <v>0</v>
      </c>
      <c r="E109" s="1">
        <v>180</v>
      </c>
      <c r="F109" s="1">
        <v>0</v>
      </c>
      <c r="G109" s="1">
        <v>0</v>
      </c>
      <c r="H109" s="1">
        <v>0</v>
      </c>
    </row>
    <row r="110" spans="1:8">
      <c r="A110" s="1" t="s">
        <v>32</v>
      </c>
      <c r="B110" s="2">
        <v>0.0394076369702816</v>
      </c>
      <c r="C110" s="1">
        <v>164</v>
      </c>
      <c r="D110" s="1">
        <v>20</v>
      </c>
      <c r="E110" s="1">
        <v>164</v>
      </c>
      <c r="F110" s="1">
        <v>0</v>
      </c>
      <c r="G110" s="1">
        <v>0</v>
      </c>
      <c r="H110" s="1">
        <v>20</v>
      </c>
    </row>
    <row r="111" spans="1:8">
      <c r="A111" s="1" t="s">
        <v>120</v>
      </c>
      <c r="B111" s="2">
        <v>0.03652415052056313</v>
      </c>
      <c r="C111" s="1">
        <v>152</v>
      </c>
      <c r="D111" s="1">
        <v>0</v>
      </c>
      <c r="E111" s="1">
        <v>152</v>
      </c>
      <c r="F111" s="1">
        <v>0</v>
      </c>
      <c r="G111" s="1">
        <v>0</v>
      </c>
      <c r="H111" s="1">
        <v>0</v>
      </c>
    </row>
    <row r="112" spans="1:8">
      <c r="A112" s="1" t="s">
        <v>54</v>
      </c>
      <c r="B112" s="2">
        <v>0.03556298837065697</v>
      </c>
      <c r="C112" s="1">
        <v>148</v>
      </c>
      <c r="D112" s="1">
        <v>4</v>
      </c>
      <c r="E112" s="1">
        <v>144</v>
      </c>
      <c r="F112" s="1">
        <v>0</v>
      </c>
      <c r="G112" s="1">
        <v>4</v>
      </c>
      <c r="H112" s="1">
        <v>0</v>
      </c>
    </row>
    <row r="113" spans="1:8">
      <c r="A113" s="1" t="s">
        <v>121</v>
      </c>
      <c r="B113" s="2">
        <v>0.03460182622075081</v>
      </c>
      <c r="C113" s="1">
        <v>144</v>
      </c>
      <c r="D113" s="1">
        <v>0</v>
      </c>
      <c r="E113" s="1">
        <v>0</v>
      </c>
      <c r="F113" s="1">
        <v>144</v>
      </c>
      <c r="G113" s="1">
        <v>0</v>
      </c>
      <c r="H113" s="1">
        <v>0</v>
      </c>
    </row>
    <row r="114" spans="1:8">
      <c r="A114" s="1" t="s">
        <v>34</v>
      </c>
      <c r="B114" s="2">
        <v>0.03412124514579773</v>
      </c>
      <c r="C114" s="1">
        <v>142</v>
      </c>
      <c r="D114" s="1">
        <v>17</v>
      </c>
      <c r="E114" s="1">
        <v>126</v>
      </c>
      <c r="F114" s="1">
        <v>16</v>
      </c>
      <c r="G114" s="1">
        <v>0</v>
      </c>
      <c r="H114" s="1">
        <v>17</v>
      </c>
    </row>
    <row r="115" spans="1:8">
      <c r="A115" s="1" t="s">
        <v>37</v>
      </c>
      <c r="B115" s="2">
        <v>0.03364066407084465</v>
      </c>
      <c r="C115" s="1">
        <v>140</v>
      </c>
      <c r="D115" s="1">
        <v>16</v>
      </c>
      <c r="E115" s="1">
        <v>124</v>
      </c>
      <c r="F115" s="1">
        <v>0</v>
      </c>
      <c r="G115" s="1">
        <v>16</v>
      </c>
      <c r="H115" s="1">
        <v>0</v>
      </c>
    </row>
    <row r="116" spans="1:8">
      <c r="A116" s="1" t="s">
        <v>122</v>
      </c>
      <c r="B116" s="2">
        <v>0.03171833977103233</v>
      </c>
      <c r="C116" s="1">
        <v>132</v>
      </c>
      <c r="D116" s="1">
        <v>0</v>
      </c>
      <c r="E116" s="1">
        <v>132</v>
      </c>
      <c r="F116" s="1">
        <v>0</v>
      </c>
      <c r="G116" s="1">
        <v>0</v>
      </c>
      <c r="H116" s="1">
        <v>0</v>
      </c>
    </row>
    <row r="117" spans="1:8">
      <c r="A117" s="1" t="s">
        <v>123</v>
      </c>
      <c r="B117" s="2">
        <v>0.02787369303405285</v>
      </c>
      <c r="C117" s="1">
        <v>116</v>
      </c>
      <c r="D117" s="1">
        <v>0</v>
      </c>
      <c r="E117" s="1">
        <v>116</v>
      </c>
      <c r="F117" s="1">
        <v>0</v>
      </c>
      <c r="G117" s="1">
        <v>0</v>
      </c>
      <c r="H117" s="1">
        <v>0</v>
      </c>
    </row>
    <row r="118" spans="1:8">
      <c r="A118" s="1" t="s">
        <v>7</v>
      </c>
      <c r="B118" s="2">
        <v>0.02739311195909977</v>
      </c>
      <c r="C118" s="1">
        <v>114</v>
      </c>
      <c r="D118" s="1">
        <v>3872</v>
      </c>
      <c r="E118" s="1">
        <v>114</v>
      </c>
      <c r="F118" s="1">
        <v>0</v>
      </c>
      <c r="G118" s="1">
        <v>0</v>
      </c>
      <c r="H118" s="1">
        <v>3872</v>
      </c>
    </row>
    <row r="119" spans="1:8">
      <c r="A119" s="1" t="s">
        <v>44</v>
      </c>
      <c r="B119" s="2">
        <v>0.02715282142162323</v>
      </c>
      <c r="C119" s="1">
        <v>113</v>
      </c>
      <c r="D119" s="1">
        <v>9</v>
      </c>
      <c r="E119" s="1">
        <v>104</v>
      </c>
      <c r="F119" s="1">
        <v>0</v>
      </c>
      <c r="G119" s="1">
        <v>9</v>
      </c>
      <c r="H119" s="1">
        <v>0</v>
      </c>
    </row>
    <row r="120" spans="1:8">
      <c r="A120" s="1" t="s">
        <v>124</v>
      </c>
      <c r="B120" s="2">
        <v>0.02691253274679184</v>
      </c>
      <c r="C120" s="1">
        <v>112</v>
      </c>
      <c r="D120" s="1">
        <v>0</v>
      </c>
      <c r="E120" s="1">
        <v>112</v>
      </c>
      <c r="F120" s="1">
        <v>0</v>
      </c>
      <c r="G120" s="1">
        <v>0</v>
      </c>
      <c r="H120" s="1">
        <v>0</v>
      </c>
    </row>
    <row r="121" spans="1:8">
      <c r="A121" s="1" t="s">
        <v>125</v>
      </c>
      <c r="B121" s="2">
        <v>0.02643195167183876</v>
      </c>
      <c r="C121" s="1">
        <v>110</v>
      </c>
      <c r="D121" s="1">
        <v>0</v>
      </c>
      <c r="E121" s="1">
        <v>110</v>
      </c>
      <c r="F121" s="1">
        <v>0</v>
      </c>
      <c r="G121" s="1">
        <v>0</v>
      </c>
      <c r="H121" s="1">
        <v>0</v>
      </c>
    </row>
    <row r="122" spans="1:8">
      <c r="A122" s="1" t="s">
        <v>126</v>
      </c>
      <c r="B122" s="2">
        <v>0.02595137059688568</v>
      </c>
      <c r="C122" s="1">
        <v>108</v>
      </c>
      <c r="D122" s="1">
        <v>0</v>
      </c>
      <c r="E122" s="1">
        <v>108</v>
      </c>
      <c r="F122" s="1">
        <v>0</v>
      </c>
      <c r="G122" s="1">
        <v>0</v>
      </c>
      <c r="H122" s="1">
        <v>0</v>
      </c>
    </row>
    <row r="123" spans="1:8">
      <c r="A123" s="1" t="s">
        <v>127</v>
      </c>
      <c r="B123" s="2">
        <v>0.02354846522212029</v>
      </c>
      <c r="C123" s="1">
        <v>98</v>
      </c>
      <c r="D123" s="1">
        <v>0</v>
      </c>
      <c r="E123" s="1">
        <v>98</v>
      </c>
      <c r="F123" s="1">
        <v>0</v>
      </c>
      <c r="G123" s="1">
        <v>0</v>
      </c>
      <c r="H123" s="1">
        <v>0</v>
      </c>
    </row>
    <row r="124" spans="1:8">
      <c r="A124" s="1" t="s">
        <v>128</v>
      </c>
      <c r="B124" s="2">
        <v>0.02258730307221413</v>
      </c>
      <c r="C124" s="1">
        <v>94</v>
      </c>
      <c r="D124" s="1">
        <v>0</v>
      </c>
      <c r="E124" s="1">
        <v>94</v>
      </c>
      <c r="F124" s="1">
        <v>0</v>
      </c>
      <c r="G124" s="1">
        <v>0</v>
      </c>
      <c r="H124" s="1">
        <v>0</v>
      </c>
    </row>
    <row r="125" spans="1:8">
      <c r="A125" s="1" t="s">
        <v>64</v>
      </c>
      <c r="B125" s="2">
        <v>0.02042469009757042</v>
      </c>
      <c r="C125" s="1">
        <v>85</v>
      </c>
      <c r="D125" s="1">
        <v>1</v>
      </c>
      <c r="E125" s="1">
        <v>84</v>
      </c>
      <c r="F125" s="1">
        <v>0</v>
      </c>
      <c r="G125" s="1">
        <v>1</v>
      </c>
      <c r="H125" s="1">
        <v>0</v>
      </c>
    </row>
    <row r="126" spans="1:8">
      <c r="A126" s="1" t="s">
        <v>129</v>
      </c>
      <c r="B126" s="2">
        <v>0.02018439956009388</v>
      </c>
      <c r="C126" s="1">
        <v>84</v>
      </c>
      <c r="D126" s="1">
        <v>0</v>
      </c>
      <c r="E126" s="1">
        <v>84</v>
      </c>
      <c r="F126" s="1">
        <v>0</v>
      </c>
      <c r="G126" s="1">
        <v>0</v>
      </c>
      <c r="H126" s="1">
        <v>0</v>
      </c>
    </row>
    <row r="127" spans="1:8">
      <c r="A127" s="1" t="s">
        <v>22</v>
      </c>
      <c r="B127" s="2">
        <v>0.01633975096046925</v>
      </c>
      <c r="C127" s="1">
        <v>68</v>
      </c>
      <c r="D127" s="1">
        <v>48</v>
      </c>
      <c r="E127" s="1">
        <v>68</v>
      </c>
      <c r="F127" s="1">
        <v>0</v>
      </c>
      <c r="G127" s="1">
        <v>0</v>
      </c>
      <c r="H127" s="1">
        <v>48</v>
      </c>
    </row>
    <row r="128" spans="1:8">
      <c r="A128" s="1" t="s">
        <v>130</v>
      </c>
      <c r="B128" s="2">
        <v>0.01633975096046925</v>
      </c>
      <c r="C128" s="1">
        <v>68</v>
      </c>
      <c r="D128" s="1">
        <v>0</v>
      </c>
      <c r="E128" s="1">
        <v>68</v>
      </c>
      <c r="F128" s="1">
        <v>0</v>
      </c>
      <c r="G128" s="1">
        <v>0</v>
      </c>
      <c r="H128" s="1">
        <v>0</v>
      </c>
    </row>
    <row r="129" spans="1:8">
      <c r="A129" s="1" t="s">
        <v>131</v>
      </c>
      <c r="B129" s="2">
        <v>0.0144174275919795</v>
      </c>
      <c r="C129" s="1">
        <v>60</v>
      </c>
      <c r="D129" s="1">
        <v>0</v>
      </c>
      <c r="E129" s="1">
        <v>60</v>
      </c>
      <c r="F129" s="1">
        <v>0</v>
      </c>
      <c r="G129" s="1">
        <v>0</v>
      </c>
      <c r="H129" s="1">
        <v>0</v>
      </c>
    </row>
    <row r="130" spans="1:8">
      <c r="A130" s="1" t="s">
        <v>132</v>
      </c>
      <c r="B130" s="2">
        <v>0.01393684651702642</v>
      </c>
      <c r="C130" s="1">
        <v>58</v>
      </c>
      <c r="D130" s="1">
        <v>0</v>
      </c>
      <c r="E130" s="1">
        <v>58</v>
      </c>
      <c r="F130" s="1">
        <v>0</v>
      </c>
      <c r="G130" s="1">
        <v>0</v>
      </c>
      <c r="H130" s="1">
        <v>0</v>
      </c>
    </row>
    <row r="131" spans="1:8">
      <c r="A131" s="1" t="s">
        <v>133</v>
      </c>
      <c r="B131" s="2">
        <v>0.01345626637339592</v>
      </c>
      <c r="C131" s="1">
        <v>56</v>
      </c>
      <c r="D131" s="1">
        <v>0</v>
      </c>
      <c r="E131" s="1">
        <v>56</v>
      </c>
      <c r="F131" s="1">
        <v>0</v>
      </c>
      <c r="G131" s="1">
        <v>0</v>
      </c>
      <c r="H131" s="1">
        <v>0</v>
      </c>
    </row>
    <row r="132" spans="1:8">
      <c r="A132" s="1" t="s">
        <v>134</v>
      </c>
      <c r="B132" s="2">
        <v>0.01201452314853668</v>
      </c>
      <c r="C132" s="1">
        <v>50</v>
      </c>
      <c r="D132" s="1">
        <v>0</v>
      </c>
      <c r="E132" s="1">
        <v>50</v>
      </c>
      <c r="F132" s="1">
        <v>0</v>
      </c>
      <c r="G132" s="1">
        <v>0</v>
      </c>
      <c r="H132" s="1">
        <v>0</v>
      </c>
    </row>
    <row r="133" spans="1:8">
      <c r="A133" s="1" t="s">
        <v>135</v>
      </c>
      <c r="B133" s="2">
        <v>0.01009219978004694</v>
      </c>
      <c r="C133" s="1">
        <v>42</v>
      </c>
      <c r="D133" s="1">
        <v>0</v>
      </c>
      <c r="E133" s="1">
        <v>42</v>
      </c>
      <c r="F133" s="1">
        <v>0</v>
      </c>
      <c r="G133" s="1">
        <v>0</v>
      </c>
      <c r="H133" s="1">
        <v>0</v>
      </c>
    </row>
    <row r="134" spans="1:8">
      <c r="A134" s="1" t="s">
        <v>47</v>
      </c>
      <c r="B134" s="2">
        <v>0.009611618705093861</v>
      </c>
      <c r="C134" s="1">
        <v>40</v>
      </c>
      <c r="D134" s="1">
        <v>4</v>
      </c>
      <c r="E134" s="1">
        <v>36</v>
      </c>
      <c r="F134" s="1">
        <v>0</v>
      </c>
      <c r="G134" s="1">
        <v>4</v>
      </c>
      <c r="H134" s="1">
        <v>0</v>
      </c>
    </row>
    <row r="135" spans="1:8">
      <c r="A135" s="1" t="s">
        <v>136</v>
      </c>
      <c r="B135" s="2">
        <v>0.008650456555187702</v>
      </c>
      <c r="C135" s="1">
        <v>36</v>
      </c>
      <c r="D135" s="1">
        <v>0</v>
      </c>
      <c r="E135" s="1">
        <v>36</v>
      </c>
      <c r="F135" s="1">
        <v>0</v>
      </c>
      <c r="G135" s="1">
        <v>0</v>
      </c>
      <c r="H135" s="1">
        <v>0</v>
      </c>
    </row>
    <row r="136" spans="1:8">
      <c r="A136" s="1" t="s">
        <v>137</v>
      </c>
      <c r="B136" s="2">
        <v>0.008650456555187702</v>
      </c>
      <c r="C136" s="1">
        <v>36</v>
      </c>
      <c r="D136" s="1">
        <v>0</v>
      </c>
      <c r="E136" s="1">
        <v>36</v>
      </c>
      <c r="F136" s="1">
        <v>0</v>
      </c>
      <c r="G136" s="1">
        <v>0</v>
      </c>
      <c r="H136" s="1">
        <v>0</v>
      </c>
    </row>
    <row r="137" spans="1:8">
      <c r="A137" s="1" t="s">
        <v>138</v>
      </c>
      <c r="B137" s="2">
        <v>0.008650456555187702</v>
      </c>
      <c r="C137" s="1">
        <v>36</v>
      </c>
      <c r="D137" s="1">
        <v>0</v>
      </c>
      <c r="E137" s="1">
        <v>36</v>
      </c>
      <c r="F137" s="1">
        <v>0</v>
      </c>
      <c r="G137" s="1">
        <v>0</v>
      </c>
      <c r="H137" s="1">
        <v>0</v>
      </c>
    </row>
    <row r="138" spans="1:8">
      <c r="A138" s="1" t="s">
        <v>139</v>
      </c>
      <c r="B138" s="2">
        <v>0.007689294870942831</v>
      </c>
      <c r="C138" s="1">
        <v>32</v>
      </c>
      <c r="D138" s="1">
        <v>0</v>
      </c>
      <c r="E138" s="1">
        <v>32</v>
      </c>
      <c r="F138" s="1">
        <v>0</v>
      </c>
      <c r="G138" s="1">
        <v>0</v>
      </c>
      <c r="H138" s="1">
        <v>0</v>
      </c>
    </row>
    <row r="139" spans="1:8">
      <c r="A139" s="1" t="s">
        <v>140</v>
      </c>
      <c r="B139" s="2">
        <v>0.007689294870942831</v>
      </c>
      <c r="C139" s="1">
        <v>32</v>
      </c>
      <c r="D139" s="1">
        <v>0</v>
      </c>
      <c r="E139" s="1">
        <v>32</v>
      </c>
      <c r="F139" s="1">
        <v>0</v>
      </c>
      <c r="G139" s="1">
        <v>0</v>
      </c>
      <c r="H139" s="1">
        <v>0</v>
      </c>
    </row>
    <row r="140" spans="1:8">
      <c r="A140" s="1" t="s">
        <v>141</v>
      </c>
      <c r="B140" s="2">
        <v>0.007689294870942831</v>
      </c>
      <c r="C140" s="1">
        <v>32</v>
      </c>
      <c r="D140" s="1">
        <v>0</v>
      </c>
      <c r="E140" s="1">
        <v>32</v>
      </c>
      <c r="F140" s="1">
        <v>0</v>
      </c>
      <c r="G140" s="1">
        <v>0</v>
      </c>
      <c r="H140" s="1">
        <v>0</v>
      </c>
    </row>
    <row r="141" spans="1:8">
      <c r="A141" s="1" t="s">
        <v>142</v>
      </c>
      <c r="B141" s="2">
        <v>0.007208713795989752</v>
      </c>
      <c r="C141" s="1">
        <v>30</v>
      </c>
      <c r="D141" s="1">
        <v>0</v>
      </c>
      <c r="E141" s="1">
        <v>30</v>
      </c>
      <c r="F141" s="1">
        <v>0</v>
      </c>
      <c r="G141" s="1">
        <v>0</v>
      </c>
      <c r="H141" s="1">
        <v>0</v>
      </c>
    </row>
    <row r="142" spans="1:8">
      <c r="A142" s="1" t="s">
        <v>143</v>
      </c>
      <c r="B142" s="2">
        <v>0.007208713795989752</v>
      </c>
      <c r="C142" s="1">
        <v>30</v>
      </c>
      <c r="D142" s="1">
        <v>0</v>
      </c>
      <c r="E142" s="1">
        <v>30</v>
      </c>
      <c r="F142" s="1">
        <v>0</v>
      </c>
      <c r="G142" s="1">
        <v>0</v>
      </c>
      <c r="H142" s="1">
        <v>0</v>
      </c>
    </row>
    <row r="143" spans="1:8">
      <c r="A143" s="1" t="s">
        <v>144</v>
      </c>
      <c r="B143" s="2">
        <v>0.006247552111744881</v>
      </c>
      <c r="C143" s="1">
        <v>26</v>
      </c>
      <c r="D143" s="1">
        <v>0</v>
      </c>
      <c r="E143" s="1">
        <v>26</v>
      </c>
      <c r="F143" s="1">
        <v>0</v>
      </c>
      <c r="G143" s="1">
        <v>0</v>
      </c>
      <c r="H143" s="1">
        <v>0</v>
      </c>
    </row>
    <row r="144" spans="1:8">
      <c r="A144" s="1" t="s">
        <v>58</v>
      </c>
      <c r="B144" s="2">
        <v>0.00504609989002347</v>
      </c>
      <c r="C144" s="1">
        <v>21</v>
      </c>
      <c r="D144" s="1">
        <v>1</v>
      </c>
      <c r="E144" s="1">
        <v>4</v>
      </c>
      <c r="F144" s="1">
        <v>16</v>
      </c>
      <c r="G144" s="1">
        <v>1</v>
      </c>
      <c r="H144" s="1">
        <v>0</v>
      </c>
    </row>
    <row r="145" spans="1:8">
      <c r="A145" s="1" t="s">
        <v>145</v>
      </c>
      <c r="B145" s="2">
        <v>0.00480580935254693</v>
      </c>
      <c r="C145" s="1">
        <v>20</v>
      </c>
      <c r="D145" s="1">
        <v>0</v>
      </c>
      <c r="E145" s="1">
        <v>20</v>
      </c>
      <c r="F145" s="1">
        <v>0</v>
      </c>
      <c r="G145" s="1">
        <v>0</v>
      </c>
      <c r="H145" s="1">
        <v>0</v>
      </c>
    </row>
    <row r="146" spans="1:8">
      <c r="A146" s="1" t="s">
        <v>146</v>
      </c>
      <c r="B146" s="2">
        <v>0.004325228277593851</v>
      </c>
      <c r="C146" s="1">
        <v>18</v>
      </c>
      <c r="D146" s="1">
        <v>0</v>
      </c>
      <c r="E146" s="1">
        <v>18</v>
      </c>
      <c r="F146" s="1">
        <v>0</v>
      </c>
      <c r="G146" s="1">
        <v>0</v>
      </c>
      <c r="H146" s="1">
        <v>0</v>
      </c>
    </row>
    <row r="147" spans="1:8">
      <c r="A147" s="1" t="s">
        <v>48</v>
      </c>
      <c r="B147" s="2">
        <v>0.003844647435471416</v>
      </c>
      <c r="C147" s="1">
        <v>16</v>
      </c>
      <c r="D147" s="1">
        <v>4</v>
      </c>
      <c r="E147" s="1">
        <v>12</v>
      </c>
      <c r="F147" s="1">
        <v>0</v>
      </c>
      <c r="G147" s="1">
        <v>4</v>
      </c>
      <c r="H147" s="1">
        <v>0</v>
      </c>
    </row>
    <row r="148" spans="1:8">
      <c r="A148" s="1" t="s">
        <v>147</v>
      </c>
      <c r="B148" s="2">
        <v>0.00336406659334898</v>
      </c>
      <c r="C148" s="1">
        <v>14</v>
      </c>
      <c r="D148" s="1">
        <v>0</v>
      </c>
      <c r="E148" s="1">
        <v>14</v>
      </c>
      <c r="F148" s="1">
        <v>0</v>
      </c>
      <c r="G148" s="1">
        <v>0</v>
      </c>
      <c r="H148" s="1">
        <v>0</v>
      </c>
    </row>
    <row r="149" spans="1:8">
      <c r="A149" s="1" t="s">
        <v>148</v>
      </c>
      <c r="B149" s="2">
        <v>0.001922323717735708</v>
      </c>
      <c r="C149" s="1">
        <v>8</v>
      </c>
      <c r="D149" s="1">
        <v>0</v>
      </c>
      <c r="E149" s="1">
        <v>8</v>
      </c>
      <c r="F149" s="1">
        <v>0</v>
      </c>
      <c r="G149" s="1">
        <v>0</v>
      </c>
      <c r="H149" s="1">
        <v>0</v>
      </c>
    </row>
    <row r="150" spans="1:8">
      <c r="A150" s="1" t="s">
        <v>149</v>
      </c>
      <c r="B150" s="2">
        <v>0.001922323717735708</v>
      </c>
      <c r="C150" s="1">
        <v>8</v>
      </c>
      <c r="D150" s="1">
        <v>0</v>
      </c>
      <c r="E150" s="1">
        <v>8</v>
      </c>
      <c r="F150" s="1">
        <v>0</v>
      </c>
      <c r="G150" s="1">
        <v>0</v>
      </c>
      <c r="H150" s="1">
        <v>0</v>
      </c>
    </row>
    <row r="151" spans="1:8">
      <c r="A151" s="1" t="s">
        <v>46</v>
      </c>
      <c r="B151" s="2">
        <v>0.0009611618588678539</v>
      </c>
      <c r="C151" s="1">
        <v>4</v>
      </c>
      <c r="D151" s="1">
        <v>4</v>
      </c>
      <c r="E151" s="1">
        <v>0</v>
      </c>
      <c r="F151" s="1">
        <v>0</v>
      </c>
      <c r="G151" s="1">
        <v>4</v>
      </c>
      <c r="H151" s="1">
        <v>0</v>
      </c>
    </row>
    <row r="152" spans="1:8">
      <c r="A152" s="1" t="s">
        <v>150</v>
      </c>
      <c r="B152" s="2">
        <v>0.0009611618588678539</v>
      </c>
      <c r="C152" s="1">
        <v>4</v>
      </c>
      <c r="D152" s="1">
        <v>0</v>
      </c>
      <c r="E152" s="1">
        <v>4</v>
      </c>
      <c r="F152" s="1">
        <v>0</v>
      </c>
      <c r="G152" s="1">
        <v>0</v>
      </c>
      <c r="H152" s="1">
        <v>0</v>
      </c>
    </row>
    <row r="153" spans="1:8">
      <c r="A153" s="1" t="s">
        <v>151</v>
      </c>
      <c r="B153" s="2">
        <v>0.0009611618588678539</v>
      </c>
      <c r="C153" s="1">
        <v>4</v>
      </c>
      <c r="D153" s="1">
        <v>0</v>
      </c>
      <c r="E153" s="1">
        <v>4</v>
      </c>
      <c r="F153" s="1">
        <v>0</v>
      </c>
      <c r="G153" s="1">
        <v>0</v>
      </c>
      <c r="H153" s="1">
        <v>0</v>
      </c>
    </row>
    <row r="154" spans="1:8">
      <c r="A154" t="s">
        <v>153</v>
      </c>
      <c r="B154">
        <f>SUBTOTAL(109,[flash_percent])</f>
        <v>0</v>
      </c>
      <c r="C154">
        <f>SUBTOTAL(109,[flash])</f>
        <v>0</v>
      </c>
      <c r="D154">
        <f>SUBTOTAL(109,[ram])</f>
        <v>0</v>
      </c>
      <c r="E154">
        <f>SUBTOTAL(109,[Code])</f>
        <v>0</v>
      </c>
      <c r="F154">
        <f>SUBTOTAL(109,[RO_data])</f>
        <v>0</v>
      </c>
      <c r="G154">
        <f>SUBTOTAL(109,[RW_data])</f>
        <v>0</v>
      </c>
      <c r="H15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2026-09-09T01:13:03Z</dcterms:created>
  <dcterms:modified xsi:type="dcterms:W3CDTF">2026-09-09T01:13:03Z</dcterms:modified>
</cp:coreProperties>
</file>